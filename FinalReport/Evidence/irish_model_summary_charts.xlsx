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"/>
    </mc:Choice>
  </mc:AlternateContent>
  <xr:revisionPtr revIDLastSave="0" documentId="13_ncr:1_{C88B1E67-6470-9E46-B8AE-FA79B773A055}" xr6:coauthVersionLast="47" xr6:coauthVersionMax="47" xr10:uidLastSave="{00000000-0000-0000-0000-000000000000}"/>
  <bookViews>
    <workbookView xWindow="38400" yWindow="1360" windowWidth="38400" windowHeight="21800" activeTab="8" xr2:uid="{4FF49A69-2F49-B14A-A75D-0C6888D117A2}"/>
  </bookViews>
  <sheets>
    <sheet name="irish_model_summary_rebuilt" sheetId="1" r:id="rId1"/>
    <sheet name="Charts" sheetId="2" r:id="rId2"/>
    <sheet name="Chart 1 - dail_only_province" sheetId="3" r:id="rId3"/>
    <sheet name="Chart 1 - province_4way" sheetId="6" r:id="rId4"/>
    <sheet name="Chart 1 - dail_vs_ni" sheetId="4" r:id="rId5"/>
    <sheet name="Chart 1 - ulster_leinster_rest" sheetId="7" r:id="rId6"/>
    <sheet name="Chart 1 - leinster_vs_rest" sheetId="5" r:id="rId7"/>
    <sheet name="Chart 1 - ulster_vs_rest" sheetId="8" r:id="rId8"/>
    <sheet name="Chart 2 - BestModelPerTask" sheetId="9" r:id="rId9"/>
    <sheet name="Chart 3 - AverageAccuracyTask" sheetId="10" r:id="rId10"/>
    <sheet name="Chart4 - relativeAccuracyMode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6" l="1"/>
  <c r="F14" i="6"/>
  <c r="G14" i="5"/>
  <c r="F14" i="5"/>
  <c r="G14" i="4"/>
  <c r="F14" i="4"/>
  <c r="G14" i="3"/>
  <c r="F14" i="3"/>
  <c r="G14" i="7"/>
  <c r="F14" i="7"/>
  <c r="G14" i="8"/>
  <c r="F14" i="8"/>
  <c r="H9" i="11"/>
  <c r="H12" i="11"/>
  <c r="H7" i="11"/>
  <c r="H11" i="11"/>
  <c r="H8" i="11"/>
  <c r="H5" i="11"/>
  <c r="C16" i="1"/>
  <c r="M16" i="1"/>
  <c r="N16" i="1" s="1"/>
  <c r="M2" i="1"/>
  <c r="N2" i="1" s="1"/>
  <c r="H2" i="11" s="1"/>
  <c r="M3" i="1"/>
  <c r="N3" i="1" s="1"/>
  <c r="H6" i="11" s="1"/>
  <c r="M4" i="1"/>
  <c r="N4" i="1" s="1"/>
  <c r="H3" i="11" s="1"/>
  <c r="M5" i="1"/>
  <c r="N5" i="1" s="1"/>
  <c r="H4" i="11" s="1"/>
  <c r="M6" i="1"/>
  <c r="N6" i="1" s="1"/>
  <c r="M7" i="1"/>
  <c r="N7" i="1" s="1"/>
  <c r="H10" i="1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B6" i="10"/>
  <c r="B4" i="10"/>
  <c r="B3" i="10"/>
  <c r="B5" i="10"/>
  <c r="B7" i="10"/>
  <c r="B2" i="10"/>
  <c r="J2" i="9"/>
  <c r="J3" i="9"/>
  <c r="J4" i="9"/>
  <c r="J5" i="9"/>
  <c r="J6" i="9"/>
  <c r="J7" i="9"/>
  <c r="F2" i="9"/>
  <c r="F7" i="9"/>
  <c r="F5" i="9"/>
  <c r="F3" i="9"/>
  <c r="F4" i="9"/>
  <c r="F6" i="9"/>
  <c r="A2" i="8"/>
  <c r="E2" i="8" s="1"/>
  <c r="A2" i="7"/>
  <c r="E2" i="7" s="1"/>
  <c r="A2" i="6"/>
  <c r="E2" i="6" s="1"/>
  <c r="A2" i="5"/>
  <c r="E2" i="5" s="1"/>
  <c r="A2" i="4"/>
  <c r="E2" i="4" s="1"/>
  <c r="A2" i="3"/>
  <c r="E2" i="3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</calcChain>
</file>

<file path=xl/sharedStrings.xml><?xml version="1.0" encoding="utf-8"?>
<sst xmlns="http://schemas.openxmlformats.org/spreadsheetml/2006/main" count="1348" uniqueCount="344">
  <si>
    <t>task_name</t>
  </si>
  <si>
    <t>model_name</t>
  </si>
  <si>
    <t>n_samples</t>
  </si>
  <si>
    <t>n_speakers</t>
  </si>
  <si>
    <t>n_classes</t>
  </si>
  <si>
    <t>class_counts</t>
  </si>
  <si>
    <t>label_classes</t>
  </si>
  <si>
    <t>accuracy_mean</t>
  </si>
  <si>
    <t>accuracy_std</t>
  </si>
  <si>
    <t>balanced_accuracy_mean</t>
  </si>
  <si>
    <t>macro_f1_mean</t>
  </si>
  <si>
    <t>dail_only_province</t>
  </si>
  <si>
    <t>knn_k1</t>
  </si>
  <si>
    <t>{"Leinster": 481, "Munster": 347, "Connacht": 233, "Ulster": 165}</t>
  </si>
  <si>
    <t>["Connacht", "Leinster", "Munster", "Ulster"]</t>
  </si>
  <si>
    <t>0.3116580745721339</t>
  </si>
  <si>
    <t>0.030508867940240252</t>
  </si>
  <si>
    <t>0.26418717623214105</t>
  </si>
  <si>
    <t>0.25284943007307914</t>
  </si>
  <si>
    <t>knn_k11</t>
  </si>
  <si>
    <t>0.32645344285260225</t>
  </si>
  <si>
    <t>0.046151997454951216</t>
  </si>
  <si>
    <t>0.27008932574240363</t>
  </si>
  <si>
    <t>0.24835835713765028</t>
  </si>
  <si>
    <t>knn_k3</t>
  </si>
  <si>
    <t>0.3030958931692115</t>
  </si>
  <si>
    <t>0.2636679032820017</t>
  </si>
  <si>
    <t>0.2490282190677308</t>
  </si>
  <si>
    <t>knn_k5</t>
  </si>
  <si>
    <t>0.31846378182223833</t>
  </si>
  <si>
    <t>0.2653770321509325</t>
  </si>
  <si>
    <t>0.2477735585404667</t>
  </si>
  <si>
    <t>knn_k7</t>
  </si>
  <si>
    <t>0.32799296585510895</t>
  </si>
  <si>
    <t>0.26357770750863263</t>
  </si>
  <si>
    <t>0.24536388535089299</t>
  </si>
  <si>
    <t>logreg</t>
  </si>
  <si>
    <t>0.3454489721210622</t>
  </si>
  <si>
    <t>0.2721088672581671</t>
  </si>
  <si>
    <t>0.2539634476578346</t>
  </si>
  <si>
    <t>logreg_weighted</t>
  </si>
  <si>
    <t>0.27188960719951955</t>
  </si>
  <si>
    <t>0.2562142555873223</t>
  </si>
  <si>
    <t>nb</t>
  </si>
  <si>
    <t>0.29623350566272627</t>
  </si>
  <si>
    <t>0.033466667915344854</t>
  </si>
  <si>
    <t>0.24096703872637568</t>
  </si>
  <si>
    <t>0.23062354425393078</t>
  </si>
  <si>
    <t>rf</t>
  </si>
  <si>
    <t>0.33841970809797667</t>
  </si>
  <si>
    <t>0.24748213816978462</t>
  </si>
  <si>
    <t>0.21378579755165247</t>
  </si>
  <si>
    <t>svm_linear</t>
  </si>
  <si>
    <t>0.33756797487448437</t>
  </si>
  <si>
    <t>0.2612561010787591</t>
  </si>
  <si>
    <t>0.2369943969119785</t>
  </si>
  <si>
    <t>svm_rbf</t>
  </si>
  <si>
    <t>0.3805883126526338</t>
  </si>
  <si>
    <t>0.059185826374159076</t>
  </si>
  <si>
    <t>0.2468638129049962</t>
  </si>
  <si>
    <t>0.16633684373164648</t>
  </si>
  <si>
    <t>dail_vs_ni</t>
  </si>
  <si>
    <t>{"DAIL": 1282, "NI": 392}</t>
  </si>
  <si>
    <t>["DAIL", "NI"]</t>
  </si>
  <si>
    <t>0.8100924385144695</t>
  </si>
  <si>
    <t>0.025615938721389418</t>
  </si>
  <si>
    <t>0.6827946408211808</t>
  </si>
  <si>
    <t>0.8118570200867434</t>
  </si>
  <si>
    <t>0.6569374047168719</t>
  </si>
  <si>
    <t>0.6820807389339831</t>
  </si>
  <si>
    <t>0.8190537711801946</t>
  </si>
  <si>
    <t>0.6688377080521959</t>
  </si>
  <si>
    <t>0.6953187672791197</t>
  </si>
  <si>
    <t>0.8220173411377223</t>
  </si>
  <si>
    <t>0.6709507312009888</t>
  </si>
  <si>
    <t>0.6977747959231456</t>
  </si>
  <si>
    <t>0.039615866001476346</t>
  </si>
  <si>
    <t>0.6583880407841521</t>
  </si>
  <si>
    <t>0.6834956501525076</t>
  </si>
  <si>
    <t>0.8305310691552847</t>
  </si>
  <si>
    <t>0.7237458136120851</t>
  </si>
  <si>
    <t>0.8131536875726976</t>
  </si>
  <si>
    <t>0.7654502943119464</t>
  </si>
  <si>
    <t>0.7492227863873708</t>
  </si>
  <si>
    <t>0.8667303935227476</t>
  </si>
  <si>
    <t>0.046149513770467936</t>
  </si>
  <si>
    <t>0.7874226790703526</t>
  </si>
  <si>
    <t>0.7955000313574867</t>
  </si>
  <si>
    <t>0.7170707008030599</t>
  </si>
  <si>
    <t>0.7441865723745854</t>
  </si>
  <si>
    <t>0.8400324917841766</t>
  </si>
  <si>
    <t>0.7526674731696748</t>
  </si>
  <si>
    <t>0.021449635113381847</t>
  </si>
  <si>
    <t>0.6583123547914729</t>
  </si>
  <si>
    <t>leinster_vs_rest</t>
  </si>
  <si>
    <t>{"Rest": 1137, "Leinster": 481}</t>
  </si>
  <si>
    <t>["Leinster", "Rest"]</t>
  </si>
  <si>
    <t>0.5909070060772847</t>
  </si>
  <si>
    <t>0.5493421699999124</t>
  </si>
  <si>
    <t>0.5414689612019521</t>
  </si>
  <si>
    <t>0.6632190498031572</t>
  </si>
  <si>
    <t>0.5725921562558014</t>
  </si>
  <si>
    <t>0.6162156480525934</t>
  </si>
  <si>
    <t>0.5583386940345777</t>
  </si>
  <si>
    <t>0.5539981855702578</t>
  </si>
  <si>
    <t>0.6323089859725567</t>
  </si>
  <si>
    <t>0.049903740371596055</t>
  </si>
  <si>
    <t>0.5602532568056804</t>
  </si>
  <si>
    <t>0.6539578794480756</t>
  </si>
  <si>
    <t>0.5762099996573932</t>
  </si>
  <si>
    <t>0.5770839227877762</t>
  </si>
  <si>
    <t>0.6515040324121852</t>
  </si>
  <si>
    <t>0.15388004764947336</t>
  </si>
  <si>
    <t>0.5583668296240168</t>
  </si>
  <si>
    <t>0.5627621338256843</t>
  </si>
  <si>
    <t>0.6051542254328631</t>
  </si>
  <si>
    <t>0.16454207141563473</t>
  </si>
  <si>
    <t>0.6157772234983663</t>
  </si>
  <si>
    <t>0.5834602710390221</t>
  </si>
  <si>
    <t>0.5706264572105646</t>
  </si>
  <si>
    <t>0.1787605805578662</t>
  </si>
  <si>
    <t>0.6002314065085735</t>
  </si>
  <si>
    <t>0.5545449433068046</t>
  </si>
  <si>
    <t>0.6508886595573902</t>
  </si>
  <si>
    <t>0.11450756222419754</t>
  </si>
  <si>
    <t>0.5213249965340937</t>
  </si>
  <si>
    <t>0.5128920320899167</t>
  </si>
  <si>
    <t>0.6515174100829416</t>
  </si>
  <si>
    <t>0.15499734802692297</t>
  </si>
  <si>
    <t>0.5547913638978458</t>
  </si>
  <si>
    <t>0.5594403019124308</t>
  </si>
  <si>
    <t>0.7027194893551962</t>
  </si>
  <si>
    <t>0.4127039446783785</t>
  </si>
  <si>
    <t>province_4way</t>
  </si>
  <si>
    <t>{"Ulster": 541, "Leinster": 481, "Munster": 347, "Connacht": 249}</t>
  </si>
  <si>
    <t>0.3544166192791238</t>
  </si>
  <si>
    <t>0.3290419712327961</t>
  </si>
  <si>
    <t>0.33019904098857555</t>
  </si>
  <si>
    <t>0.39921195450111363</t>
  </si>
  <si>
    <t>0.023840540928101898</t>
  </si>
  <si>
    <t>0.34764287719168896</t>
  </si>
  <si>
    <t>0.3419119703158932</t>
  </si>
  <si>
    <t>0.3538881071776767</t>
  </si>
  <si>
    <t>0.3310614074810821</t>
  </si>
  <si>
    <t>0.3309177715603238</t>
  </si>
  <si>
    <t>0.37189517288526847</t>
  </si>
  <si>
    <t>0.037479867986846535</t>
  </si>
  <si>
    <t>0.33470905479884544</t>
  </si>
  <si>
    <t>0.33386768584012627</t>
  </si>
  <si>
    <t>0.39034282819417937</t>
  </si>
  <si>
    <t>0.3474254392715335</t>
  </si>
  <si>
    <t>0.3432376848154669</t>
  </si>
  <si>
    <t>0.4544309556094329</t>
  </si>
  <si>
    <t>0.3938290839759699</t>
  </si>
  <si>
    <t>0.3831794300805013</t>
  </si>
  <si>
    <t>0.4244395402945555</t>
  </si>
  <si>
    <t>0.39085496944155634</t>
  </si>
  <si>
    <t>0.39014358572964564</t>
  </si>
  <si>
    <t>0.39841552360148047</t>
  </si>
  <si>
    <t>0.3490877133408474</t>
  </si>
  <si>
    <t>0.34720647493484663</t>
  </si>
  <si>
    <t>0.4636087463649233</t>
  </si>
  <si>
    <t>0.37670411177694063</t>
  </si>
  <si>
    <t>0.33680229157161823</t>
  </si>
  <si>
    <t>0.4523557648967693</t>
  </si>
  <si>
    <t>0.058198511654457795</t>
  </si>
  <si>
    <t>0.3938769090464038</t>
  </si>
  <si>
    <t>0.4742846974385665</t>
  </si>
  <si>
    <t>0.039479769786817116</t>
  </si>
  <si>
    <t>0.3786970161125224</t>
  </si>
  <si>
    <t>0.3071659737226319</t>
  </si>
  <si>
    <t>ulster_leinster_rest</t>
  </si>
  <si>
    <t>{"Rest": 596, "Ulster": 541, "Leinster": 481}</t>
  </si>
  <si>
    <t>["Leinster", "Rest", "Ulster"]</t>
  </si>
  <si>
    <t>0.42213431181439437</t>
  </si>
  <si>
    <t>0.4215973064612483</t>
  </si>
  <si>
    <t>0.4252636596105311</t>
  </si>
  <si>
    <t>0.4586133088713068</t>
  </si>
  <si>
    <t>0.4585931284056956</t>
  </si>
  <si>
    <t>0.4673983168514299</t>
  </si>
  <si>
    <t>0.44561594618354167</t>
  </si>
  <si>
    <t>0.45044054368878983</t>
  </si>
  <si>
    <t>0.4406910522493598</t>
  </si>
  <si>
    <t>0.045176832585120084</t>
  </si>
  <si>
    <t>0.44101663244234873</t>
  </si>
  <si>
    <t>0.44761156565272275</t>
  </si>
  <si>
    <t>0.45613652868554827</t>
  </si>
  <si>
    <t>0.057876376096458085</t>
  </si>
  <si>
    <t>0.45696840088203994</t>
  </si>
  <si>
    <t>0.4632621819655884</t>
  </si>
  <si>
    <t>0.5037686809616634</t>
  </si>
  <si>
    <t>0.49759201926384583</t>
  </si>
  <si>
    <t>0.5039103285301201</t>
  </si>
  <si>
    <t>0.4935859423454733</t>
  </si>
  <si>
    <t>0.47583234152915016</t>
  </si>
  <si>
    <t>0.4817553848134991</t>
  </si>
  <si>
    <t>0.5013492336505753</t>
  </si>
  <si>
    <t>0.49953825878000374</t>
  </si>
  <si>
    <t>0.5117914612238658</t>
  </si>
  <si>
    <t>0.5143611966550898</t>
  </si>
  <si>
    <t>0.5108108085274612</t>
  </si>
  <si>
    <t>0.5383461376753431</t>
  </si>
  <si>
    <t>0.5186742552406483</t>
  </si>
  <si>
    <t>ulster_vs_rest</t>
  </si>
  <si>
    <t>{"Rest": 1077, "Ulster": 541}</t>
  </si>
  <si>
    <t>["Rest", "Ulster"]</t>
  </si>
  <si>
    <t>0.7131865611741773</t>
  </si>
  <si>
    <t>0.6399094158503147</t>
  </si>
  <si>
    <t>0.7478117952834155</t>
  </si>
  <si>
    <t>0.6577600732470884</t>
  </si>
  <si>
    <t>0.6683303671247438</t>
  </si>
  <si>
    <t>0.7292665214233842</t>
  </si>
  <si>
    <t>0.6400637994901757</t>
  </si>
  <si>
    <t>0.6471929445454282</t>
  </si>
  <si>
    <t>0.6480350625885153</t>
  </si>
  <si>
    <t>0.6566379898727742</t>
  </si>
  <si>
    <t>0.7509020372281465</t>
  </si>
  <si>
    <t>0.6646431002715287</t>
  </si>
  <si>
    <t>0.6758605133527597</t>
  </si>
  <si>
    <t>0.7829587585521538</t>
  </si>
  <si>
    <t>0.7251968237636591</t>
  </si>
  <si>
    <t>0.7749130451400833</t>
  </si>
  <si>
    <t>0.7444244533605715</t>
  </si>
  <si>
    <t>0.7867580170469747</t>
  </si>
  <si>
    <t>0.7234834384641966</t>
  </si>
  <si>
    <t>0.7349038090042737</t>
  </si>
  <si>
    <t>0.7941711577418491</t>
  </si>
  <si>
    <t>0.7160461281555969</t>
  </si>
  <si>
    <t>0.7315308223466896</t>
  </si>
  <si>
    <t>0.7916179337231968</t>
  </si>
  <si>
    <t>0.7349324824716044</t>
  </si>
  <si>
    <t>0.7427435142268008</t>
  </si>
  <si>
    <t>0.7786798150059244</t>
  </si>
  <si>
    <t>0.6967460947305476</t>
  </si>
  <si>
    <t>0.7088643089904059</t>
  </si>
  <si>
    <t>task_model</t>
  </si>
  <si>
    <t>dail_only_province -  knn_k1</t>
  </si>
  <si>
    <t>dail_only_province -  knn_k11</t>
  </si>
  <si>
    <t>dail_only_province -  knn_k3</t>
  </si>
  <si>
    <t>dail_only_province -  knn_k5</t>
  </si>
  <si>
    <t>dail_only_province -  knn_k7</t>
  </si>
  <si>
    <t>dail_only_province -  logreg</t>
  </si>
  <si>
    <t>dail_only_province -  logreg_weighted</t>
  </si>
  <si>
    <t>dail_only_province -  nb</t>
  </si>
  <si>
    <t>dail_only_province -  rf</t>
  </si>
  <si>
    <t>dail_only_province -  svm_linear</t>
  </si>
  <si>
    <t>dail_only_province -  svm_rbf</t>
  </si>
  <si>
    <t>dail_vs_ni -  knn_k1</t>
  </si>
  <si>
    <t>dail_vs_ni -  knn_k11</t>
  </si>
  <si>
    <t>dail_vs_ni -  knn_k3</t>
  </si>
  <si>
    <t>dail_vs_ni -  knn_k5</t>
  </si>
  <si>
    <t>dail_vs_ni -  knn_k7</t>
  </si>
  <si>
    <t>dail_vs_ni -  logreg</t>
  </si>
  <si>
    <t>dail_vs_ni -  logreg_weighted</t>
  </si>
  <si>
    <t>dail_vs_ni -  nb</t>
  </si>
  <si>
    <t>dail_vs_ni -  rf</t>
  </si>
  <si>
    <t>dail_vs_ni -  svm_linear</t>
  </si>
  <si>
    <t>dail_vs_ni -  svm_rbf</t>
  </si>
  <si>
    <t>leinster_vs_rest -  knn_k1</t>
  </si>
  <si>
    <t>leinster_vs_rest -  knn_k11</t>
  </si>
  <si>
    <t>leinster_vs_rest -  knn_k3</t>
  </si>
  <si>
    <t>leinster_vs_rest -  knn_k5</t>
  </si>
  <si>
    <t>leinster_vs_rest -  knn_k7</t>
  </si>
  <si>
    <t>leinster_vs_rest -  logreg</t>
  </si>
  <si>
    <t>leinster_vs_rest -  logreg_weighted</t>
  </si>
  <si>
    <t>leinster_vs_rest -  nb</t>
  </si>
  <si>
    <t>leinster_vs_rest -  rf</t>
  </si>
  <si>
    <t>leinster_vs_rest -  svm_linear</t>
  </si>
  <si>
    <t>leinster_vs_rest -  svm_rbf</t>
  </si>
  <si>
    <t>province_4way -  knn_k1</t>
  </si>
  <si>
    <t>province_4way -  knn_k11</t>
  </si>
  <si>
    <t>province_4way -  knn_k3</t>
  </si>
  <si>
    <t>province_4way -  knn_k5</t>
  </si>
  <si>
    <t>province_4way -  knn_k7</t>
  </si>
  <si>
    <t>province_4way -  logreg</t>
  </si>
  <si>
    <t>province_4way -  logreg_weighted</t>
  </si>
  <si>
    <t>province_4way -  nb</t>
  </si>
  <si>
    <t>province_4way -  rf</t>
  </si>
  <si>
    <t>province_4way -  svm_linear</t>
  </si>
  <si>
    <t>province_4way -  svm_rbf</t>
  </si>
  <si>
    <t>ulster_leinster_rest -  knn_k1</t>
  </si>
  <si>
    <t>ulster_leinster_rest -  knn_k11</t>
  </si>
  <si>
    <t>ulster_leinster_rest -  knn_k3</t>
  </si>
  <si>
    <t>ulster_leinster_rest -  knn_k5</t>
  </si>
  <si>
    <t>ulster_leinster_rest -  knn_k7</t>
  </si>
  <si>
    <t>ulster_leinster_rest -  logreg</t>
  </si>
  <si>
    <t>ulster_leinster_rest -  logreg_weighted</t>
  </si>
  <si>
    <t>ulster_leinster_rest -  nb</t>
  </si>
  <si>
    <t>ulster_leinster_rest -  rf</t>
  </si>
  <si>
    <t>ulster_leinster_rest -  svm_linear</t>
  </si>
  <si>
    <t>ulster_leinster_rest -  svm_rbf</t>
  </si>
  <si>
    <t>ulster_vs_rest -  knn_k1</t>
  </si>
  <si>
    <t>ulster_vs_rest -  knn_k11</t>
  </si>
  <si>
    <t>ulster_vs_rest -  knn_k3</t>
  </si>
  <si>
    <t>ulster_vs_rest -  knn_k5</t>
  </si>
  <si>
    <t>ulster_vs_rest -  knn_k7</t>
  </si>
  <si>
    <t>ulster_vs_rest -  logreg</t>
  </si>
  <si>
    <t>ulster_vs_rest -  logreg_weighted</t>
  </si>
  <si>
    <t>ulster_vs_rest -  nb</t>
  </si>
  <si>
    <t>ulster_vs_rest -  rf</t>
  </si>
  <si>
    <t>ulster_vs_rest -  svm_linear</t>
  </si>
  <si>
    <t>ulster_vs_rest -  svm_rbf</t>
  </si>
  <si>
    <t>dail_only_province -  knn_k01</t>
  </si>
  <si>
    <t>dail_only_province -  knn_k011</t>
  </si>
  <si>
    <t>dail_only_province -  knn_k03</t>
  </si>
  <si>
    <t>dail_only_province -  knn_k05</t>
  </si>
  <si>
    <t>dail_only_province -  knn_k07</t>
  </si>
  <si>
    <t>Random</t>
  </si>
  <si>
    <t>random</t>
  </si>
  <si>
    <t>Naive Bayes</t>
  </si>
  <si>
    <t>SVM (RBF Kernel)</t>
  </si>
  <si>
    <t>Random Forest</t>
  </si>
  <si>
    <t>model_name_better</t>
  </si>
  <si>
    <t>Random Baseline</t>
  </si>
  <si>
    <t>SVM (Linear)</t>
  </si>
  <si>
    <t>k-NN (k=7)</t>
  </si>
  <si>
    <t>k-NN (k=3)</t>
  </si>
  <si>
    <t>k-NN (k=1)</t>
  </si>
  <si>
    <t>k-NN (k=5)</t>
  </si>
  <si>
    <t>k-NN (k=11)</t>
  </si>
  <si>
    <t>Logistic Regression (Weighted)</t>
  </si>
  <si>
    <t>Logistic Regression</t>
  </si>
  <si>
    <t>signal_flag</t>
  </si>
  <si>
    <t>Binary Classification: Leinster vs Rest</t>
  </si>
  <si>
    <t>task_name_better</t>
  </si>
  <si>
    <t>Province Classification (Dáil Speakers Only)</t>
  </si>
  <si>
    <t>Binary Classification: Dáil vs Northern Ireland</t>
  </si>
  <si>
    <t>Multi-Class Classification: Four Provinces</t>
  </si>
  <si>
    <t>Multi-Class Classification: Ulster, Leinster, and Rest</t>
  </si>
  <si>
    <t>Binary Classification: Ulster vs Rest</t>
  </si>
  <si>
    <t>task_model_better</t>
  </si>
  <si>
    <t>Dáil Speakers</t>
  </si>
  <si>
    <t>Dáil vs Northern Ireland</t>
  </si>
  <si>
    <t>Leinster vs Rest</t>
  </si>
  <si>
    <t>Four Provinces</t>
  </si>
  <si>
    <t>Ulster, Leinster, and Rest</t>
  </si>
  <si>
    <t>Ulster vs Rest</t>
  </si>
  <si>
    <t>RelativeImprovementOverBaseline</t>
  </si>
  <si>
    <t>avg_accuracy</t>
  </si>
  <si>
    <t>Province (Dáil Speakers)</t>
  </si>
  <si>
    <t>Ulster / Leinster / Rest</t>
  </si>
  <si>
    <t>Baseline</t>
  </si>
  <si>
    <t>relative_improvement</t>
  </si>
  <si>
    <t>avg_relative_improvement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</si>
</sst>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 style="thin">
        <color theme="0"/>
      </bottom>
      <diagonal/>
    </border>
    <border>
      <left/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B3E1"/>
      </bottom>
      <diagonal/>
    </border>
    <border>
      <left style="thin">
        <color rgb="FF44B3E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44B3E1"/>
      </top>
      <bottom style="thin">
        <color rgb="FF44B3E1"/>
      </bottom>
      <diagonal/>
    </border>
    <border>
      <left style="thin">
        <color rgb="FFFFFFFF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FFFFF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0">
    <xf numFmtId="0" fontId="0" fillId="0" borderId="0" xfId="0"/>
    <xf numFmtId="0" fontId="0" fillId="0" borderId="0" xfId="0" quotePrefix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2" xfId="0" applyFill="1" applyBorder="1"/>
    <xf numFmtId="0" fontId="0" fillId="34" borderId="13" xfId="0" applyFill="1" applyBorder="1"/>
    <xf numFmtId="0" fontId="0" fillId="35" borderId="12" xfId="0" applyFill="1" applyBorder="1"/>
    <xf numFmtId="0" fontId="0" fillId="35" borderId="13" xfId="0" applyFill="1" applyBorder="1"/>
    <xf numFmtId="0" fontId="0" fillId="35" borderId="16" xfId="0" applyFill="1" applyBorder="1"/>
    <xf numFmtId="0" fontId="0" fillId="35" borderId="17" xfId="0" applyFill="1" applyBorder="1"/>
    <xf numFmtId="2" fontId="13" fillId="33" borderId="11" xfId="0" applyNumberFormat="1" applyFont="1" applyFill="1" applyBorder="1"/>
    <xf numFmtId="10" fontId="0" fillId="34" borderId="13" xfId="0" quotePrefix="1" applyNumberFormat="1" applyFill="1" applyBorder="1"/>
    <xf numFmtId="10" fontId="0" fillId="35" borderId="13" xfId="0" quotePrefix="1" applyNumberFormat="1" applyFill="1" applyBorder="1"/>
    <xf numFmtId="10" fontId="0" fillId="0" borderId="0" xfId="0" applyNumberFormat="1"/>
    <xf numFmtId="10" fontId="13" fillId="33" borderId="11" xfId="0" applyNumberFormat="1" applyFont="1" applyFill="1" applyBorder="1"/>
    <xf numFmtId="0" fontId="0" fillId="0" borderId="30" xfId="0" applyBorder="1"/>
    <xf numFmtId="10" fontId="0" fillId="0" borderId="30" xfId="0" applyNumberFormat="1" applyBorder="1"/>
    <xf numFmtId="10" fontId="0" fillId="0" borderId="31" xfId="0" applyNumberFormat="1" applyBorder="1"/>
    <xf numFmtId="0" fontId="0" fillId="0" borderId="18" xfId="0" applyBorder="1"/>
    <xf numFmtId="10" fontId="0" fillId="0" borderId="18" xfId="0" applyNumberFormat="1" applyBorder="1"/>
    <xf numFmtId="10" fontId="0" fillId="0" borderId="17" xfId="0" applyNumberFormat="1" applyBorder="1"/>
    <xf numFmtId="0" fontId="0" fillId="0" borderId="29" xfId="0" applyBorder="1"/>
    <xf numFmtId="0" fontId="0" fillId="0" borderId="32" xfId="0" applyBorder="1"/>
    <xf numFmtId="0" fontId="0" fillId="0" borderId="23" xfId="0" applyBorder="1"/>
    <xf numFmtId="10" fontId="0" fillId="0" borderId="23" xfId="0" applyNumberFormat="1" applyBorder="1"/>
    <xf numFmtId="10" fontId="0" fillId="0" borderId="33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3" fillId="0" borderId="0" xfId="0" applyFont="1"/>
    <xf numFmtId="0" fontId="13" fillId="0" borderId="37" xfId="0" applyFont="1" applyBorder="1"/>
    <xf numFmtId="10" fontId="13" fillId="0" borderId="37" xfId="0" applyNumberFormat="1" applyFont="1" applyBorder="1"/>
    <xf numFmtId="10" fontId="13" fillId="0" borderId="25" xfId="0" applyNumberFormat="1" applyFont="1" applyBorder="1"/>
    <xf numFmtId="0" fontId="0" fillId="0" borderId="20" xfId="0" applyBorder="1"/>
    <xf numFmtId="0" fontId="0" fillId="0" borderId="13" xfId="0" applyBorder="1"/>
    <xf numFmtId="0" fontId="0" fillId="0" borderId="26" xfId="0" applyBorder="1"/>
    <xf numFmtId="10" fontId="0" fillId="0" borderId="27" xfId="0" applyNumberFormat="1" applyBorder="1"/>
    <xf numFmtId="10" fontId="0" fillId="0" borderId="28" xfId="0" applyNumberFormat="1" applyBorder="1"/>
    <xf numFmtId="0" fontId="0" fillId="0" borderId="12" xfId="0" applyBorder="1"/>
    <xf numFmtId="0" fontId="0" fillId="0" borderId="37" xfId="0" applyBorder="1"/>
    <xf numFmtId="0" fontId="13" fillId="0" borderId="25" xfId="0" applyFont="1" applyBorder="1"/>
    <xf numFmtId="10" fontId="0" fillId="34" borderId="13" xfId="0" applyNumberFormat="1" applyFill="1" applyBorder="1"/>
    <xf numFmtId="10" fontId="0" fillId="35" borderId="13" xfId="0" applyNumberFormat="1" applyFill="1" applyBorder="1"/>
    <xf numFmtId="10" fontId="13" fillId="33" borderId="14" xfId="0" applyNumberFormat="1" applyFont="1" applyFill="1" applyBorder="1"/>
    <xf numFmtId="10" fontId="0" fillId="34" borderId="15" xfId="0" quotePrefix="1" applyNumberFormat="1" applyFill="1" applyBorder="1"/>
    <xf numFmtId="10" fontId="0" fillId="35" borderId="15" xfId="0" quotePrefix="1" applyNumberFormat="1" applyFill="1" applyBorder="1"/>
    <xf numFmtId="10" fontId="0" fillId="34" borderId="15" xfId="0" applyNumberFormat="1" applyFill="1" applyBorder="1"/>
    <xf numFmtId="10" fontId="0" fillId="35" borderId="15" xfId="0" applyNumberFormat="1" applyFill="1" applyBorder="1"/>
    <xf numFmtId="10" fontId="0" fillId="35" borderId="17" xfId="0" quotePrefix="1" applyNumberFormat="1" applyFill="1" applyBorder="1"/>
    <xf numFmtId="10" fontId="0" fillId="35" borderId="18" xfId="0" quotePrefix="1" applyNumberFormat="1" applyFill="1" applyBorder="1"/>
    <xf numFmtId="0" fontId="13" fillId="0" borderId="10" xfId="0" applyFont="1" applyBorder="1"/>
    <xf numFmtId="0" fontId="13" fillId="0" borderId="11" xfId="0" applyFont="1" applyBorder="1"/>
    <xf numFmtId="2" fontId="13" fillId="0" borderId="11" xfId="0" applyNumberFormat="1" applyFont="1" applyBorder="1"/>
    <xf numFmtId="10" fontId="0" fillId="0" borderId="13" xfId="0" applyNumberFormat="1" applyBorder="1"/>
    <xf numFmtId="10" fontId="0" fillId="0" borderId="13" xfId="0" quotePrefix="1" applyNumberFormat="1" applyBorder="1"/>
    <xf numFmtId="10" fontId="0" fillId="0" borderId="27" xfId="0" quotePrefix="1" applyNumberFormat="1" applyBorder="1"/>
    <xf numFmtId="10" fontId="0" fillId="0" borderId="28" xfId="0" quotePrefix="1" applyNumberFormat="1" applyBorder="1"/>
    <xf numFmtId="0" fontId="18" fillId="0" borderId="20" xfId="0" applyFont="1" applyBorder="1"/>
    <xf numFmtId="0" fontId="18" fillId="0" borderId="31" xfId="0" applyFont="1" applyBorder="1"/>
    <xf numFmtId="0" fontId="18" fillId="0" borderId="21" xfId="0" applyFont="1" applyBorder="1"/>
    <xf numFmtId="10" fontId="18" fillId="0" borderId="21" xfId="0" applyNumberFormat="1" applyFont="1" applyBorder="1"/>
    <xf numFmtId="10" fontId="18" fillId="0" borderId="22" xfId="0" applyNumberFormat="1" applyFont="1" applyBorder="1"/>
    <xf numFmtId="0" fontId="18" fillId="0" borderId="13" xfId="0" applyFont="1" applyBorder="1"/>
    <xf numFmtId="0" fontId="18" fillId="0" borderId="26" xfId="0" applyFont="1" applyBorder="1"/>
    <xf numFmtId="10" fontId="18" fillId="0" borderId="26" xfId="0" quotePrefix="1" applyNumberFormat="1" applyFont="1" applyBorder="1"/>
    <xf numFmtId="10" fontId="18" fillId="0" borderId="38" xfId="0" quotePrefix="1" applyNumberFormat="1" applyFont="1" applyBorder="1"/>
    <xf numFmtId="0" fontId="18" fillId="0" borderId="41" xfId="0" applyFont="1" applyBorder="1"/>
    <xf numFmtId="0" fontId="18" fillId="0" borderId="42" xfId="0" applyFont="1" applyBorder="1"/>
    <xf numFmtId="0" fontId="18" fillId="0" borderId="43" xfId="0" applyFont="1" applyBorder="1"/>
    <xf numFmtId="0" fontId="18" fillId="0" borderId="40" xfId="0" applyFont="1" applyBorder="1"/>
    <xf numFmtId="10" fontId="18" fillId="0" borderId="43" xfId="0" applyNumberFormat="1" applyFont="1" applyBorder="1"/>
    <xf numFmtId="10" fontId="18" fillId="0" borderId="38" xfId="0" applyNumberFormat="1" applyFont="1" applyBorder="1"/>
    <xf numFmtId="0" fontId="18" fillId="0" borderId="17" xfId="0" applyFont="1" applyBorder="1"/>
    <xf numFmtId="10" fontId="18" fillId="0" borderId="26" xfId="0" applyNumberFormat="1" applyFont="1" applyBorder="1"/>
    <xf numFmtId="0" fontId="13" fillId="0" borderId="24" xfId="0" applyFont="1" applyBorder="1"/>
    <xf numFmtId="10" fontId="13" fillId="0" borderId="11" xfId="0" applyNumberFormat="1" applyFont="1" applyBorder="1"/>
    <xf numFmtId="0" fontId="18" fillId="0" borderId="16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45" xfId="0" applyFont="1" applyBorder="1" applyAlignment="1">
      <alignment wrapText="1"/>
    </xf>
    <xf numFmtId="10" fontId="18" fillId="0" borderId="44" xfId="0" quotePrefix="1" applyNumberFormat="1" applyFont="1" applyBorder="1"/>
    <xf numFmtId="9" fontId="0" fillId="0" borderId="0" xfId="0" applyNumberFormat="1"/>
    <xf numFmtId="0" fontId="0" fillId="0" borderId="39" xfId="0" applyBorder="1"/>
    <xf numFmtId="0" fontId="0" fillId="0" borderId="17" xfId="0" applyBorder="1"/>
    <xf numFmtId="10" fontId="0" fillId="0" borderId="17" xfId="0" quotePrefix="1" applyNumberFormat="1" applyBorder="1"/>
    <xf numFmtId="0" fontId="0" fillId="0" borderId="0" xfId="0" applyFill="1"/>
    <xf numFmtId="0" fontId="0" fillId="0" borderId="18" xfId="0" applyFont="1" applyFill="1" applyBorder="1"/>
    <xf numFmtId="10" fontId="0" fillId="0" borderId="0" xfId="0" applyNumberFormat="1" applyFill="1"/>
    <xf numFmtId="0" fontId="0" fillId="0" borderId="37" xfId="0" applyFont="1" applyFill="1" applyBorder="1"/>
    <xf numFmtId="0" fontId="0" fillId="0" borderId="35" xfId="0" applyFont="1" applyFill="1" applyBorder="1"/>
    <xf numFmtId="10" fontId="0" fillId="0" borderId="18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7558519241921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7558519241921"/>
        </left>
        <right/>
        <top style="thin">
          <color theme="0"/>
        </top>
        <bottom style="thin">
          <color theme="0"/>
        </bottom>
      </border>
    </dxf>
    <dxf>
      <border outline="0">
        <top style="thin">
          <color theme="4" tint="0.39997558519241921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1E6F5"/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Province Classification (Dáil Speakers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dail_only_province'!$F$1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2A-4C45-82F7-385D9C03F09B}"/>
              </c:ext>
            </c:extLst>
          </c:dPt>
          <c:cat>
            <c:strRef>
              <c:f>'Chart 1 - dail_only_province'!$D$2:$D$13</c:f>
              <c:strCache>
                <c:ptCount val="12"/>
                <c:pt idx="0">
                  <c:v>Random Baseline</c:v>
                </c:pt>
                <c:pt idx="1">
                  <c:v>Naive Bayes</c:v>
                </c:pt>
                <c:pt idx="2">
                  <c:v>SVM (RBF Kernel)</c:v>
                </c:pt>
                <c:pt idx="3">
                  <c:v>Random Forest</c:v>
                </c:pt>
                <c:pt idx="4">
                  <c:v>SVM (Linear)</c:v>
                </c:pt>
                <c:pt idx="5">
                  <c:v>k-NN (k=7)</c:v>
                </c:pt>
                <c:pt idx="6">
                  <c:v>k-NN (k=3)</c:v>
                </c:pt>
                <c:pt idx="7">
                  <c:v>k-NN (k=1)</c:v>
                </c:pt>
                <c:pt idx="8">
                  <c:v>k-NN (k=5)</c:v>
                </c:pt>
                <c:pt idx="9">
                  <c:v>k-NN (k=11)</c:v>
                </c:pt>
                <c:pt idx="10">
                  <c:v>Logistic Regression (Weighted)</c:v>
                </c:pt>
                <c:pt idx="11">
                  <c:v>Logistic Regression</c:v>
                </c:pt>
              </c:strCache>
            </c:strRef>
          </c:cat>
          <c:val>
            <c:numRef>
              <c:f>'Chart 1 - dail_only_province'!$F$2:$F$13</c:f>
              <c:numCache>
                <c:formatCode>0.00%</c:formatCode>
                <c:ptCount val="12"/>
                <c:pt idx="0">
                  <c:v>0.25</c:v>
                </c:pt>
                <c:pt idx="1">
                  <c:v>0.24096703872637501</c:v>
                </c:pt>
                <c:pt idx="2">
                  <c:v>0.24686381290499601</c:v>
                </c:pt>
                <c:pt idx="3">
                  <c:v>0.24748213816978401</c:v>
                </c:pt>
                <c:pt idx="4">
                  <c:v>0.26125610107875902</c:v>
                </c:pt>
                <c:pt idx="5">
                  <c:v>0.26357770750863202</c:v>
                </c:pt>
                <c:pt idx="6">
                  <c:v>0.26366790328200101</c:v>
                </c:pt>
                <c:pt idx="7">
                  <c:v>0.264187176232141</c:v>
                </c:pt>
                <c:pt idx="8">
                  <c:v>0.265377032150932</c:v>
                </c:pt>
                <c:pt idx="9">
                  <c:v>0.27008932574240302</c:v>
                </c:pt>
                <c:pt idx="10">
                  <c:v>0.27188960719951899</c:v>
                </c:pt>
                <c:pt idx="11">
                  <c:v>0.27210886725816702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A-4C45-82F7-385D9C03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</a:t>
                </a:r>
                <a:r>
                  <a:rPr lang="en-GB" sz="1200" b="1" baseline="0"/>
                  <a:t>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Multi-Class Classification</a:t>
            </a:r>
            <a:r>
              <a:rPr lang="en-US" b="1" baseline="0"/>
              <a:t> - </a:t>
            </a:r>
            <a:r>
              <a:rPr lang="en-US" b="1"/>
              <a:t>Four Provinces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province_4way'!$F$1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B2-6F44-BC31-5631F068F022}"/>
              </c:ext>
            </c:extLst>
          </c:dPt>
          <c:cat>
            <c:strRef>
              <c:f>'Chart 1 - province_4way'!$D$2:$D$13</c:f>
              <c:strCache>
                <c:ptCount val="12"/>
                <c:pt idx="0">
                  <c:v>Random Baseline</c:v>
                </c:pt>
                <c:pt idx="1">
                  <c:v>k-NN (k=1)</c:v>
                </c:pt>
                <c:pt idx="2">
                  <c:v>k-NN (k=3)</c:v>
                </c:pt>
                <c:pt idx="3">
                  <c:v>k-NN (k=5)</c:v>
                </c:pt>
                <c:pt idx="4">
                  <c:v>k-NN (k=7)</c:v>
                </c:pt>
                <c:pt idx="5">
                  <c:v>k-NN (k=11)</c:v>
                </c:pt>
                <c:pt idx="6">
                  <c:v>Naive Bayes</c:v>
                </c:pt>
                <c:pt idx="7">
                  <c:v>Random Forest</c:v>
                </c:pt>
                <c:pt idx="8">
                  <c:v>SVM (RBF Kernel)</c:v>
                </c:pt>
                <c:pt idx="9">
                  <c:v>Logistic Regression (Weighted)</c:v>
                </c:pt>
                <c:pt idx="10">
                  <c:v>Logistic Regression</c:v>
                </c:pt>
                <c:pt idx="11">
                  <c:v>SVM (Linear)</c:v>
                </c:pt>
              </c:strCache>
            </c:strRef>
          </c:cat>
          <c:val>
            <c:numRef>
              <c:f>'Chart 1 - province_4way'!$F$2:$F$13</c:f>
              <c:numCache>
                <c:formatCode>0.00%</c:formatCode>
                <c:ptCount val="12"/>
                <c:pt idx="0">
                  <c:v>0.25</c:v>
                </c:pt>
                <c:pt idx="1">
                  <c:v>0.32904197123279599</c:v>
                </c:pt>
                <c:pt idx="2">
                  <c:v>0.33106140748108198</c:v>
                </c:pt>
                <c:pt idx="3">
                  <c:v>0.334709054798845</c:v>
                </c:pt>
                <c:pt idx="4">
                  <c:v>0.34742543927153302</c:v>
                </c:pt>
                <c:pt idx="5">
                  <c:v>0.34764287719168802</c:v>
                </c:pt>
                <c:pt idx="6">
                  <c:v>0.34908771334084698</c:v>
                </c:pt>
                <c:pt idx="7">
                  <c:v>0.37670411177694002</c:v>
                </c:pt>
                <c:pt idx="8">
                  <c:v>0.37869701611252199</c:v>
                </c:pt>
                <c:pt idx="9">
                  <c:v>0.39085496944155601</c:v>
                </c:pt>
                <c:pt idx="10">
                  <c:v>0.393829083975969</c:v>
                </c:pt>
                <c:pt idx="11">
                  <c:v>0.39387690904640299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2-6F44-BC31-5631F068F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Binary Classification: Dáil vs Northern Ireland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dail_vs_ni'!$F$1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56-6C41-BB88-46F6BA054E2F}"/>
              </c:ext>
            </c:extLst>
          </c:dPt>
          <c:cat>
            <c:strRef>
              <c:f>'Chart 1 - dail_vs_ni'!$D$2:$D$13</c:f>
              <c:strCache>
                <c:ptCount val="12"/>
                <c:pt idx="0">
                  <c:v>Random Baseline</c:v>
                </c:pt>
                <c:pt idx="1">
                  <c:v>k-NN (k=11)</c:v>
                </c:pt>
                <c:pt idx="2">
                  <c:v>SVM (RBF Kernel)</c:v>
                </c:pt>
                <c:pt idx="3">
                  <c:v>k-NN (k=7)</c:v>
                </c:pt>
                <c:pt idx="4">
                  <c:v>k-NN (k=1)</c:v>
                </c:pt>
                <c:pt idx="5">
                  <c:v>k-NN (k=3)</c:v>
                </c:pt>
                <c:pt idx="6">
                  <c:v>k-NN (k=5)</c:v>
                </c:pt>
                <c:pt idx="7">
                  <c:v>Random Forest</c:v>
                </c:pt>
                <c:pt idx="8">
                  <c:v>Logistic Regression</c:v>
                </c:pt>
                <c:pt idx="9">
                  <c:v>SVM (Linear)</c:v>
                </c:pt>
                <c:pt idx="10">
                  <c:v>Logistic Regression (Weighted)</c:v>
                </c:pt>
                <c:pt idx="11">
                  <c:v>Naive Bayes</c:v>
                </c:pt>
              </c:strCache>
            </c:strRef>
          </c:cat>
          <c:val>
            <c:numRef>
              <c:f>'Chart 1 - dail_vs_ni'!$F$2:$F$13</c:f>
              <c:numCache>
                <c:formatCode>0.00%</c:formatCode>
                <c:ptCount val="12"/>
                <c:pt idx="0">
                  <c:v>0.5</c:v>
                </c:pt>
                <c:pt idx="1">
                  <c:v>0.65693740471687101</c:v>
                </c:pt>
                <c:pt idx="2">
                  <c:v>0.65831235479147199</c:v>
                </c:pt>
                <c:pt idx="3">
                  <c:v>0.65838804078415203</c:v>
                </c:pt>
                <c:pt idx="4">
                  <c:v>0.66043166910492002</c:v>
                </c:pt>
                <c:pt idx="5">
                  <c:v>0.668837708052195</c:v>
                </c:pt>
                <c:pt idx="6">
                  <c:v>0.67095073120098803</c:v>
                </c:pt>
                <c:pt idx="7">
                  <c:v>0.71707070080305901</c:v>
                </c:pt>
                <c:pt idx="8">
                  <c:v>0.72374581361208501</c:v>
                </c:pt>
                <c:pt idx="9">
                  <c:v>0.73857218814408898</c:v>
                </c:pt>
                <c:pt idx="10">
                  <c:v>0.765450294311946</c:v>
                </c:pt>
                <c:pt idx="11">
                  <c:v>0.78742267907035202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6-6C41-BB88-46F6BA054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</a:t>
                </a:r>
                <a:r>
                  <a:rPr lang="en-GB" sz="1200" b="1" baseline="0"/>
                  <a:t> Accuracy Mean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Multi-Class Classification</a:t>
            </a:r>
            <a:r>
              <a:rPr lang="en-US" b="1" baseline="0"/>
              <a:t> - </a:t>
            </a:r>
            <a:r>
              <a:rPr lang="en-US" b="1"/>
              <a:t>Ulster, Leinster, and 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ulster_leinster_rest'!$F$1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C-E849-B90B-2B880992402A}"/>
              </c:ext>
            </c:extLst>
          </c:dPt>
          <c:cat>
            <c:strRef>
              <c:f>'Chart 1 - ulster_leinster_rest'!$D$2:$D$13</c:f>
              <c:strCache>
                <c:ptCount val="12"/>
                <c:pt idx="0">
                  <c:v>Random Baseline</c:v>
                </c:pt>
                <c:pt idx="1">
                  <c:v>k-NN (k=1)</c:v>
                </c:pt>
                <c:pt idx="2">
                  <c:v>k-NN (k=5)</c:v>
                </c:pt>
                <c:pt idx="3">
                  <c:v>k-NN (k=3)</c:v>
                </c:pt>
                <c:pt idx="4">
                  <c:v>k-NN (k=7)</c:v>
                </c:pt>
                <c:pt idx="5">
                  <c:v>k-NN (k=11)</c:v>
                </c:pt>
                <c:pt idx="6">
                  <c:v>Naive Bayes</c:v>
                </c:pt>
                <c:pt idx="7">
                  <c:v>Random Forest</c:v>
                </c:pt>
                <c:pt idx="8">
                  <c:v>Logistic Regression (Weighted)</c:v>
                </c:pt>
                <c:pt idx="9">
                  <c:v>Logistic Regression</c:v>
                </c:pt>
                <c:pt idx="10">
                  <c:v>SVM (Linear)</c:v>
                </c:pt>
                <c:pt idx="11">
                  <c:v>SVM (RBF Kernel)</c:v>
                </c:pt>
              </c:strCache>
            </c:strRef>
          </c:cat>
          <c:val>
            <c:numRef>
              <c:f>'Chart 1 - ulster_leinster_rest'!$F$2:$F$13</c:f>
              <c:numCache>
                <c:formatCode>0.00%</c:formatCode>
                <c:ptCount val="12"/>
                <c:pt idx="0">
                  <c:v>0.33329999999999999</c:v>
                </c:pt>
                <c:pt idx="1">
                  <c:v>0.42159730646124799</c:v>
                </c:pt>
                <c:pt idx="2">
                  <c:v>0.44101663244234801</c:v>
                </c:pt>
                <c:pt idx="3">
                  <c:v>0.44857915355944</c:v>
                </c:pt>
                <c:pt idx="4">
                  <c:v>0.45696840088203899</c:v>
                </c:pt>
                <c:pt idx="5">
                  <c:v>0.45859312840569499</c:v>
                </c:pt>
                <c:pt idx="6">
                  <c:v>0.47583234152914999</c:v>
                </c:pt>
                <c:pt idx="7">
                  <c:v>0.49953825878000302</c:v>
                </c:pt>
                <c:pt idx="8">
                  <c:v>0.50391032853011997</c:v>
                </c:pt>
                <c:pt idx="9">
                  <c:v>0.50573615943149597</c:v>
                </c:pt>
                <c:pt idx="10">
                  <c:v>0.51436119665508895</c:v>
                </c:pt>
                <c:pt idx="11">
                  <c:v>0.52408969936051997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C-E849-B90B-2B880992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Binary Classification</a:t>
            </a:r>
            <a:r>
              <a:rPr lang="en-US" b="1" baseline="0"/>
              <a:t> -</a:t>
            </a:r>
            <a:r>
              <a:rPr lang="en-US" b="1"/>
              <a:t> Leinster vs 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leinster_vs_rest'!$F$1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9D-2940-B330-69F79082BF47}"/>
              </c:ext>
            </c:extLst>
          </c:dPt>
          <c:cat>
            <c:strRef>
              <c:f>'Chart 1 - leinster_vs_rest'!$D$2:$D$13</c:f>
              <c:strCache>
                <c:ptCount val="12"/>
                <c:pt idx="0">
                  <c:v>Random Baseline</c:v>
                </c:pt>
                <c:pt idx="1">
                  <c:v>SVM (RBF Kernel)</c:v>
                </c:pt>
                <c:pt idx="2">
                  <c:v>Random Forest</c:v>
                </c:pt>
                <c:pt idx="3">
                  <c:v>k-NN (k=1)</c:v>
                </c:pt>
                <c:pt idx="4">
                  <c:v>SVM (Linear)</c:v>
                </c:pt>
                <c:pt idx="5">
                  <c:v>k-NN (k=3)</c:v>
                </c:pt>
                <c:pt idx="6">
                  <c:v>Logistic Regression</c:v>
                </c:pt>
                <c:pt idx="7">
                  <c:v>k-NN (k=5)</c:v>
                </c:pt>
                <c:pt idx="8">
                  <c:v>k-NN (k=11)</c:v>
                </c:pt>
                <c:pt idx="9">
                  <c:v>k-NN (k=7)</c:v>
                </c:pt>
                <c:pt idx="10">
                  <c:v>Naive Bayes</c:v>
                </c:pt>
                <c:pt idx="11">
                  <c:v>Logistic Regression (Weighted)</c:v>
                </c:pt>
              </c:strCache>
            </c:strRef>
          </c:cat>
          <c:val>
            <c:numRef>
              <c:f>'Chart 1 - leinster_vs_rest'!$F$2:$F$13</c:f>
              <c:numCache>
                <c:formatCode>0.00%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0.52132499653409303</c:v>
                </c:pt>
                <c:pt idx="3">
                  <c:v>0.54934216999991203</c:v>
                </c:pt>
                <c:pt idx="4">
                  <c:v>0.554791363897845</c:v>
                </c:pt>
                <c:pt idx="5">
                  <c:v>0.55833869403457703</c:v>
                </c:pt>
                <c:pt idx="6">
                  <c:v>0.55836682962401596</c:v>
                </c:pt>
                <c:pt idx="7">
                  <c:v>0.56140121808677201</c:v>
                </c:pt>
                <c:pt idx="8">
                  <c:v>0.57259215625580095</c:v>
                </c:pt>
                <c:pt idx="9">
                  <c:v>0.57620999965739295</c:v>
                </c:pt>
                <c:pt idx="10">
                  <c:v>0.60023140650857298</c:v>
                </c:pt>
                <c:pt idx="11">
                  <c:v>0.61577722349836606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D-2940-B330-69F79082B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Binary Classification</a:t>
            </a:r>
            <a:r>
              <a:rPr lang="en-US" b="1" baseline="0"/>
              <a:t> - </a:t>
            </a:r>
            <a:r>
              <a:rPr lang="en-US" b="1"/>
              <a:t>Ulster vs 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ulster_vs_rest'!$F$1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28-2546-A979-5C112CC69933}"/>
              </c:ext>
            </c:extLst>
          </c:dPt>
          <c:cat>
            <c:strRef>
              <c:f>'Chart 1 - ulster_vs_rest'!$D$2:$D$13</c:f>
              <c:strCache>
                <c:ptCount val="12"/>
                <c:pt idx="0">
                  <c:v>Random Baseline</c:v>
                </c:pt>
                <c:pt idx="1">
                  <c:v>k-NN (k=1)</c:v>
                </c:pt>
                <c:pt idx="2">
                  <c:v>k-NN (k=3)</c:v>
                </c:pt>
                <c:pt idx="3">
                  <c:v>k-NN (k=5)</c:v>
                </c:pt>
                <c:pt idx="4">
                  <c:v>k-NN (k=11)</c:v>
                </c:pt>
                <c:pt idx="5">
                  <c:v>k-NN (k=7)</c:v>
                </c:pt>
                <c:pt idx="6">
                  <c:v>SVM (RBF Kernel)</c:v>
                </c:pt>
                <c:pt idx="7">
                  <c:v>Random Forest</c:v>
                </c:pt>
                <c:pt idx="8">
                  <c:v>Naive Bayes</c:v>
                </c:pt>
                <c:pt idx="9">
                  <c:v>Logistic Regression</c:v>
                </c:pt>
                <c:pt idx="10">
                  <c:v>SVM (Linear)</c:v>
                </c:pt>
                <c:pt idx="11">
                  <c:v>Logistic Regression (Weighted)</c:v>
                </c:pt>
              </c:strCache>
            </c:strRef>
          </c:cat>
          <c:val>
            <c:numRef>
              <c:f>'Chart 1 - ulster_vs_rest'!$F$2:$F$13</c:f>
              <c:numCache>
                <c:formatCode>0.00%</c:formatCode>
                <c:ptCount val="12"/>
                <c:pt idx="0">
                  <c:v>0.5</c:v>
                </c:pt>
                <c:pt idx="1">
                  <c:v>0.63313510584315802</c:v>
                </c:pt>
                <c:pt idx="2">
                  <c:v>0.640063799490175</c:v>
                </c:pt>
                <c:pt idx="3">
                  <c:v>0.64803506258851495</c:v>
                </c:pt>
                <c:pt idx="4">
                  <c:v>0.65776007324708796</c:v>
                </c:pt>
                <c:pt idx="5">
                  <c:v>0.66464310027152795</c:v>
                </c:pt>
                <c:pt idx="6">
                  <c:v>0.69674609473054705</c:v>
                </c:pt>
                <c:pt idx="7">
                  <c:v>0.71604612815559598</c:v>
                </c:pt>
                <c:pt idx="8">
                  <c:v>0.72348343846419605</c:v>
                </c:pt>
                <c:pt idx="9">
                  <c:v>0.72519682376365902</c:v>
                </c:pt>
                <c:pt idx="10">
                  <c:v>0.73493248247160403</c:v>
                </c:pt>
                <c:pt idx="11">
                  <c:v>0.74775796701111596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8-2546-A979-5C112CC69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Irish</a:t>
            </a:r>
            <a:r>
              <a:rPr lang="en-US" b="1" baseline="0"/>
              <a:t> Dataset: </a:t>
            </a:r>
            <a:r>
              <a:rPr lang="en-US" b="1"/>
              <a:t>Best Model Per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2 - BestModelPerTask'!$G$1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'Chart 2 - BestModelPerTask'!$F$2:$F$7</c:f>
              <c:strCache>
                <c:ptCount val="6"/>
                <c:pt idx="0">
                  <c:v>Dáil Speakers
Logistic Regression</c:v>
                </c:pt>
                <c:pt idx="1">
                  <c:v>Four Provinces
SVM (Linear)</c:v>
                </c:pt>
                <c:pt idx="2">
                  <c:v>Ulster, Leinster, and Rest
SVM (RBF Kernel)</c:v>
                </c:pt>
                <c:pt idx="3">
                  <c:v>Leinster vs Rest
Logistic Regression (Weighted)</c:v>
                </c:pt>
                <c:pt idx="4">
                  <c:v>Ulster vs Rest
Logistic Regression (Weighted)</c:v>
                </c:pt>
                <c:pt idx="5">
                  <c:v>Dáil vs Northern Ireland
Naive Bayes</c:v>
                </c:pt>
              </c:strCache>
            </c:strRef>
          </c:cat>
          <c:val>
            <c:numRef>
              <c:f>'Chart 2 - BestModelPerTask'!$G$2:$G$7</c:f>
              <c:numCache>
                <c:formatCode>0.00%</c:formatCode>
                <c:ptCount val="6"/>
                <c:pt idx="0">
                  <c:v>0.27210886725816702</c:v>
                </c:pt>
                <c:pt idx="1">
                  <c:v>0.39387690904640299</c:v>
                </c:pt>
                <c:pt idx="2">
                  <c:v>0.52408969936051997</c:v>
                </c:pt>
                <c:pt idx="3">
                  <c:v>0.61580000000000001</c:v>
                </c:pt>
                <c:pt idx="4">
                  <c:v>0.74775796701111596</c:v>
                </c:pt>
                <c:pt idx="5">
                  <c:v>0.78742267907035202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0-8040-972A-2728FD4C8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89255183"/>
        <c:axId val="1389054559"/>
      </c:barChart>
      <c:catAx>
        <c:axId val="138925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Task</a:t>
                </a:r>
              </a:p>
              <a:p>
                <a:pPr>
                  <a:defRPr sz="1200" b="1"/>
                </a:pPr>
                <a:r>
                  <a:rPr lang="en-GB" sz="1200" b="1"/>
                  <a:t>------</a:t>
                </a:r>
                <a:br>
                  <a:rPr lang="en-GB" sz="1200" b="1"/>
                </a:br>
                <a:r>
                  <a:rPr lang="en-GB" sz="1200" b="1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54559"/>
        <c:crosses val="autoZero"/>
        <c:auto val="1"/>
        <c:lblAlgn val="ctr"/>
        <c:lblOffset val="100"/>
        <c:noMultiLvlLbl val="0"/>
      </c:catAx>
      <c:valAx>
        <c:axId val="13890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 Accuracy</a:t>
                </a:r>
                <a:r>
                  <a:rPr lang="en-GB" sz="1200" b="1" baseline="0"/>
                  <a:t>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5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Irish</a:t>
            </a:r>
            <a:r>
              <a:rPr lang="en-US" b="1" baseline="0"/>
              <a:t> Dataset: </a:t>
            </a:r>
            <a:r>
              <a:rPr lang="en-US" b="1"/>
              <a:t>Best Model Per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2 - BestModelPerTask'!$G$1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'Chart 2 - BestModelPerTask'!$F$2:$F$7</c:f>
              <c:strCache>
                <c:ptCount val="6"/>
                <c:pt idx="0">
                  <c:v>Dáil Speakers
Logistic Regression</c:v>
                </c:pt>
                <c:pt idx="1">
                  <c:v>Four Provinces
SVM (Linear)</c:v>
                </c:pt>
                <c:pt idx="2">
                  <c:v>Ulster, Leinster, and Rest
SVM (RBF Kernel)</c:v>
                </c:pt>
                <c:pt idx="3">
                  <c:v>Leinster vs Rest
Logistic Regression (Weighted)</c:v>
                </c:pt>
                <c:pt idx="4">
                  <c:v>Ulster vs Rest
Logistic Regression (Weighted)</c:v>
                </c:pt>
                <c:pt idx="5">
                  <c:v>Dáil vs Northern Ireland
Naive Bayes</c:v>
                </c:pt>
              </c:strCache>
            </c:strRef>
          </c:cat>
          <c:val>
            <c:numRef>
              <c:f>'Chart 2 - BestModelPerTask'!$G$2:$G$7</c:f>
              <c:numCache>
                <c:formatCode>0.00%</c:formatCode>
                <c:ptCount val="6"/>
                <c:pt idx="0">
                  <c:v>0.27210886725816702</c:v>
                </c:pt>
                <c:pt idx="1">
                  <c:v>0.39387690904640299</c:v>
                </c:pt>
                <c:pt idx="2">
                  <c:v>0.52408969936051997</c:v>
                </c:pt>
                <c:pt idx="3">
                  <c:v>0.61580000000000001</c:v>
                </c:pt>
                <c:pt idx="4">
                  <c:v>0.74775796701111596</c:v>
                </c:pt>
                <c:pt idx="5">
                  <c:v>0.78742267907035202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7-6649-BAEB-A5FCFE444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89255183"/>
        <c:axId val="1389054559"/>
      </c:barChart>
      <c:catAx>
        <c:axId val="138925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Task</a:t>
                </a:r>
              </a:p>
              <a:p>
                <a:pPr>
                  <a:defRPr sz="1200" b="1"/>
                </a:pPr>
                <a:r>
                  <a:rPr lang="en-GB" sz="1200" b="1"/>
                  <a:t>------</a:t>
                </a:r>
                <a:br>
                  <a:rPr lang="en-GB" sz="1200" b="1"/>
                </a:br>
                <a:r>
                  <a:rPr lang="en-GB" sz="1200" b="1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54559"/>
        <c:crosses val="autoZero"/>
        <c:auto val="1"/>
        <c:lblAlgn val="ctr"/>
        <c:lblOffset val="100"/>
        <c:noMultiLvlLbl val="0"/>
      </c:catAx>
      <c:valAx>
        <c:axId val="13890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 Accuracy</a:t>
                </a:r>
                <a:r>
                  <a:rPr lang="en-GB" sz="1200" b="1" baseline="0"/>
                  <a:t>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5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IE" sz="1400" b="1" i="0" u="none" strike="noStrike" baseline="0"/>
              <a:t>Average Model Performance by Task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3 - AverageAccuracyTask'!$A$2:$A$7</c:f>
              <c:strCache>
                <c:ptCount val="6"/>
                <c:pt idx="0">
                  <c:v>Province (Dáil Speakers)</c:v>
                </c:pt>
                <c:pt idx="1">
                  <c:v>Four Provinces</c:v>
                </c:pt>
                <c:pt idx="2">
                  <c:v>Ulster / Leinster / Rest</c:v>
                </c:pt>
                <c:pt idx="3">
                  <c:v>Leinster vs Rest</c:v>
                </c:pt>
                <c:pt idx="4">
                  <c:v>Ulster vs Rest</c:v>
                </c:pt>
                <c:pt idx="5">
                  <c:v>Dáil vs Northern Ireland</c:v>
                </c:pt>
              </c:strCache>
            </c:strRef>
          </c:cat>
          <c:val>
            <c:numRef>
              <c:f>'Chart 3 - AverageAccuracyTask'!$B$2:$B$7</c:f>
              <c:numCache>
                <c:formatCode>0.00%</c:formatCode>
                <c:ptCount val="6"/>
                <c:pt idx="0">
                  <c:v>0.26067879184124626</c:v>
                </c:pt>
                <c:pt idx="1">
                  <c:v>0.36117550487910732</c:v>
                </c:pt>
                <c:pt idx="2">
                  <c:v>0.47729296418519523</c:v>
                </c:pt>
                <c:pt idx="3">
                  <c:v>0.56076145982703163</c:v>
                </c:pt>
                <c:pt idx="4">
                  <c:v>0.68980000691247101</c:v>
                </c:pt>
                <c:pt idx="5">
                  <c:v>0.70055632587201178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4-9347-8D98-95F6CAF9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798063"/>
        <c:axId val="754799775"/>
      </c:barChart>
      <c:catAx>
        <c:axId val="75479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/>
                  <a:t>Task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99775"/>
        <c:crosses val="autoZero"/>
        <c:auto val="1"/>
        <c:lblAlgn val="ctr"/>
        <c:lblOffset val="100"/>
        <c:noMultiLvlLbl val="0"/>
      </c:catAx>
      <c:valAx>
        <c:axId val="7547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0" i="0" u="none" strike="noStrike" baseline="0"/>
                  <a:t>Balanced Accuracy </a:t>
                </a:r>
              </a:p>
              <a:p>
                <a:pPr>
                  <a:defRPr sz="1200"/>
                </a:pPr>
                <a:endParaRPr lang="en-GB" sz="1200" b="0" i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9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IE" sz="1400" b="1" i="0" u="none" strike="noStrike" baseline="0"/>
              <a:t>Average Improvement Over Random Baseline by Model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'Chart4 - relativeAccuracyModel'!$H$1</c:f>
              <c:strCache>
                <c:ptCount val="1"/>
                <c:pt idx="0">
                  <c:v>avg_relative_improvement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'Chart4 - relativeAccuracyModel'!$G$2:$G$12</c:f>
              <c:strCache>
                <c:ptCount val="11"/>
                <c:pt idx="0">
                  <c:v>k-NN (k=1)</c:v>
                </c:pt>
                <c:pt idx="1">
                  <c:v>k-NN (k=3)</c:v>
                </c:pt>
                <c:pt idx="2">
                  <c:v>k-NN (k=5)</c:v>
                </c:pt>
                <c:pt idx="3">
                  <c:v>k-NN (k=7)</c:v>
                </c:pt>
                <c:pt idx="4">
                  <c:v>k-NN (k=11)</c:v>
                </c:pt>
                <c:pt idx="5">
                  <c:v>SVM (RBF Kernel)</c:v>
                </c:pt>
                <c:pt idx="6">
                  <c:v>Random Forest</c:v>
                </c:pt>
                <c:pt idx="7">
                  <c:v>Naive Bayes</c:v>
                </c:pt>
                <c:pt idx="8">
                  <c:v>Logistic Regression</c:v>
                </c:pt>
                <c:pt idx="9">
                  <c:v>SVM (Linear)</c:v>
                </c:pt>
                <c:pt idx="10">
                  <c:v>Logistic Regression (Weighted)</c:v>
                </c:pt>
              </c:strCache>
            </c:strRef>
          </c:cat>
          <c:val>
            <c:numRef>
              <c:f>'Chart4 - relativeAccuracyModel'!$H$2:$H$12</c:f>
              <c:numCache>
                <c:formatCode>0.00%</c:formatCode>
                <c:ptCount val="11"/>
                <c:pt idx="0">
                  <c:v>0.22058773318991201</c:v>
                </c:pt>
                <c:pt idx="1">
                  <c:v>0.24318918448075769</c:v>
                </c:pt>
                <c:pt idx="2">
                  <c:v>0.24736137814645034</c:v>
                </c:pt>
                <c:pt idx="3">
                  <c:v>0.26890001186548718</c:v>
                </c:pt>
                <c:pt idx="4">
                  <c:v>0.27021457756549483</c:v>
                </c:pt>
                <c:pt idx="5">
                  <c:v>0.29743821886594501</c:v>
                </c:pt>
                <c:pt idx="6">
                  <c:v>0.31737390451873354</c:v>
                </c:pt>
                <c:pt idx="7">
                  <c:v>0.33499851349043003</c:v>
                </c:pt>
                <c:pt idx="8">
                  <c:v>0.36592986953842538</c:v>
                </c:pt>
                <c:pt idx="9">
                  <c:v>0.37003461658216513</c:v>
                </c:pt>
                <c:pt idx="10">
                  <c:v>0.40344671029958601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D-0C45-8A27-A1330C89E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-27"/>
        <c:axId val="435735456"/>
        <c:axId val="435670448"/>
      </c:barChart>
      <c:catAx>
        <c:axId val="43573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70448"/>
        <c:crosses val="autoZero"/>
        <c:auto val="1"/>
        <c:lblAlgn val="ctr"/>
        <c:lblOffset val="100"/>
        <c:noMultiLvlLbl val="0"/>
      </c:catAx>
      <c:valAx>
        <c:axId val="43567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0" i="0" u="none" strike="noStrike" baseline="0"/>
                  <a:t>Relative Improvement 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3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347231</xdr:colOff>
      <xdr:row>16</xdr:row>
      <xdr:rowOff>116416</xdr:rowOff>
    </xdr:from>
    <xdr:to>
      <xdr:col>8</xdr:col>
      <xdr:colOff>40216</xdr:colOff>
      <xdr:row>47</xdr:row>
      <xdr:rowOff>103717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80EE5-80C5-6B06-7678-DC2D41FA9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42334</xdr:colOff>
      <xdr:row>20</xdr:row>
      <xdr:rowOff>127001</xdr:rowOff>
    </xdr:from>
    <xdr:to>
      <xdr:col>8</xdr:col>
      <xdr:colOff>194636</xdr:colOff>
      <xdr:row>51</xdr:row>
      <xdr:rowOff>50801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F6A56-8F4B-C841-99BD-A3F240E04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10584</xdr:colOff>
      <xdr:row>16</xdr:row>
      <xdr:rowOff>169333</xdr:rowOff>
    </xdr:from>
    <xdr:to>
      <xdr:col>8</xdr:col>
      <xdr:colOff>594686</xdr:colOff>
      <xdr:row>47</xdr:row>
      <xdr:rowOff>93134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07AF4-83B6-E544-8E1B-56F3E33BB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1041302</xdr:colOff>
      <xdr:row>45</xdr:row>
      <xdr:rowOff>124884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A030C-6309-5D4D-B8F6-85206C604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63500</xdr:rowOff>
    </xdr:from>
    <xdr:to>
      <xdr:col>9</xdr:col>
      <xdr:colOff>719569</xdr:colOff>
      <xdr:row>48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6AA8B-E3D1-5249-81D8-48156A15C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647602</xdr:colOff>
      <xdr:row>45</xdr:row>
      <xdr:rowOff>124884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A983F-7806-0C49-9771-9ACC4676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442577</xdr:colOff>
      <xdr:row>8</xdr:row>
      <xdr:rowOff>11738</xdr:rowOff>
    </xdr:from>
    <xdr:to>
      <xdr:col>5</xdr:col>
      <xdr:colOff>1233055</xdr:colOff>
      <xdr:row>33</xdr:row>
      <xdr:rowOff>206856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60732-E2B9-5927-A64F-44ED38422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7</xdr:row>
      <xdr:rowOff>173182</xdr:rowOff>
    </xdr:from>
    <xdr:to>
      <xdr:col>16</xdr:col>
      <xdr:colOff>675023</xdr:colOff>
      <xdr:row>33</xdr:row>
      <xdr:rowOff>160482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5D1014-6E9E-3C45-BB7D-E2E5D8FFA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2</xdr:row>
      <xdr:rowOff>103716</xdr:rowOff>
    </xdr:from>
    <xdr:to>
      <xdr:col>12</xdr:col>
      <xdr:colOff>692150</xdr:colOff>
      <xdr:row>32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A00A7-44B1-5BFC-C516-0342503AC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391584</xdr:colOff>
      <xdr:row>13</xdr:row>
      <xdr:rowOff>12700</xdr:rowOff>
    </xdr:from>
    <xdr:to>
      <xdr:col>13</xdr:col>
      <xdr:colOff>10583</xdr:colOff>
      <xdr:row>37</xdr:row>
      <xdr:rowOff>86783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4B882-8B7F-072C-0A53-EB4BECAB3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8ED0B-2560-9848-955A-052EBF2D7125}" name="Table1" displayName="Table1" ref="A1:N67" totalsRowShown="0">
  <autoFilter ref="A1:N67" xr:uid="{EE58ED0B-2560-9848-955A-052EBF2D7125}"/>
  <tableColumns count="14">
    <tableColumn id="1" xr3:uid="{24865EAA-300E-E845-879E-C8D6CBA13050}" name="task_name"/>
    <tableColumn id="2" xr3:uid="{978F9106-1277-754C-A4F2-4BAAB7CB2E3D}" name="model_name"/>
    <tableColumn id="14" xr3:uid="{478F359E-30CB-AE4B-B851-462D1CC2BA02}" name="task_model" dataDxfId="144">
      <calculatedColumnFormula>_xlfn.CONCAT(Table1[[#This Row],[task_name]]," -  ",Table1[[#This Row],[model_name]])</calculatedColumnFormula>
    </tableColumn>
    <tableColumn id="3" xr3:uid="{ACF67C75-2B67-F64B-AFB6-261BC81C2550}" name="n_samples"/>
    <tableColumn id="4" xr3:uid="{F6AA60A8-DE4D-954D-B071-BBB33D030EB8}" name="n_speakers"/>
    <tableColumn id="5" xr3:uid="{D90AEE69-2764-AE4F-ABA5-259FD345EA70}" name="n_classes"/>
    <tableColumn id="6" xr3:uid="{B592A7A7-E92B-4B4D-A410-268E68C18027}" name="class_counts"/>
    <tableColumn id="7" xr3:uid="{24E13E15-CE10-BB4F-889D-4662459421E6}" name="label_classes"/>
    <tableColumn id="8" xr3:uid="{490F3B02-4574-D24A-B90D-EC32F1D97305}" name="accuracy_mean"/>
    <tableColumn id="9" xr3:uid="{FCFFC612-1875-F046-A939-4E7655977CC7}" name="accuracy_std"/>
    <tableColumn id="10" xr3:uid="{CD6CF502-A09B-8248-8F0C-565A06FF3F86}" name="balanced_accuracy_mean"/>
    <tableColumn id="11" xr3:uid="{601027DF-067B-7A4C-8A82-198B0346FE08}" name="macro_f1_mean"/>
    <tableColumn id="12" xr3:uid="{AEEEFE73-6E0B-854E-A2E5-8BEFBF35FB8C}" name="Baseline" dataDxfId="143">
      <calculatedColumnFormula>1/Table1[[#This Row],[n_classes]]</calculatedColumnFormula>
    </tableColumn>
    <tableColumn id="15" xr3:uid="{4B4C074C-4EED-7B42-AA4B-8337CEDD1F96}" name="relative_improvement" dataDxfId="142">
      <calculatedColumnFormula>(Table1[[#This Row],[balanced_accuracy_mean]]-Table1[[#This Row],[Baseline]])/Table1[[#This Row],[Baseline]]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C532A2-EF49-1E42-A3BE-DD330163513E}" name="Table2" displayName="Table2" ref="A1:E67" totalsRowShown="0" headerRowDxfId="141" dataDxfId="139" headerRowBorderDxfId="140" tableBorderDxfId="138" totalsRowBorderDxfId="137">
  <autoFilter ref="A1:E67" xr:uid="{E2C532A2-EF49-1E42-A3BE-DD330163513E}">
    <filterColumn colId="1">
      <filters>
        <filter val="knn_k11"/>
      </filters>
    </filterColumn>
  </autoFilter>
  <tableColumns count="5">
    <tableColumn id="1" xr3:uid="{142B9034-2955-9240-A916-974FAFB7EF2C}" name="task_name" dataDxfId="136"/>
    <tableColumn id="2" xr3:uid="{8B35E1A6-2D38-C54D-8AB2-86FF5B0F94A6}" name="model_name" dataDxfId="135"/>
    <tableColumn id="3" xr3:uid="{16A2A86C-629A-2A42-A36C-5A1E089A96E6}" name="task_model" dataDxfId="134"/>
    <tableColumn id="4" xr3:uid="{47A1107B-D709-334E-AFE9-03A1E3925A7C}" name="balanced_accuracy_mean" dataDxfId="133"/>
    <tableColumn id="5" xr3:uid="{1C2E424D-0081-2643-BCFF-4B3D30129152}" name="macro_f1_mea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76E0F9-7107-3946-AC4D-87A384DFDAE8}" name="Table5" displayName="Table5" ref="A1:H14" totalsRowCount="1" headerRowDxfId="131" dataDxfId="130" tableBorderDxfId="129">
  <autoFilter ref="A1:H13" xr:uid="{7A76E0F9-7107-3946-AC4D-87A384DFDAE8}"/>
  <sortState xmlns:xlrd2="http://schemas.microsoft.com/office/spreadsheetml/2017/richdata2" ref="A2:H13">
    <sortCondition descending="1" ref="H2:H13"/>
    <sortCondition ref="F2:F13"/>
  </sortState>
  <tableColumns count="8">
    <tableColumn id="1" xr3:uid="{AAD35B54-3EAF-6E40-8617-8A0ECD5075DC}" name="task_name" dataDxfId="128" totalsRowDxfId="31"/>
    <tableColumn id="9" xr3:uid="{C9F33185-E1B2-9D48-B45E-0E1AC11D32F1}" name="task_name_better" dataDxfId="127" totalsRowDxfId="30"/>
    <tableColumn id="2" xr3:uid="{68FCD6E5-29EB-1E47-ADD3-2FC338197480}" name="model_name" dataDxfId="126" totalsRowDxfId="29"/>
    <tableColumn id="3" xr3:uid="{17D8DDF7-E573-6F4A-A2EA-56F88B99217B}" name="model_name_better" dataDxfId="125" totalsRowDxfId="28"/>
    <tableColumn id="4" xr3:uid="{9662570C-4A72-F048-8782-78E3DF93F8E0}" name="task_model" dataDxfId="124" totalsRowDxfId="27"/>
    <tableColumn id="5" xr3:uid="{A4D12154-4241-CB40-B349-6C6610111267}" name="balanced_accuracy_mean" totalsRowFunction="custom" dataDxfId="123" totalsRowDxfId="26">
      <totalsRowFormula>AVERAGE(F3:F13)</totalsRowFormula>
    </tableColumn>
    <tableColumn id="6" xr3:uid="{1686227E-110F-B146-AA28-082FBD18F701}" name="macro_f1_mean" totalsRowFunction="custom" dataDxfId="122" totalsRowDxfId="25">
      <totalsRowFormula>AVERAGE(G3:G13)</totalsRowFormula>
    </tableColumn>
    <tableColumn id="8" xr3:uid="{DBD9411C-6602-3E49-B449-61CFD7D6EEDA}" name="signal_flag" dataDxfId="121" totalsRowDxfId="2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AB2B87-6486-D14C-948E-3F06D4FADBEC}" name="Table13" displayName="Table13" ref="A1:H14" totalsRowCount="1" headerRowDxfId="96" dataDxfId="94" headerRowBorderDxfId="95" tableBorderDxfId="93">
  <autoFilter ref="A1:H13" xr:uid="{F9AB2B87-6486-D14C-948E-3F06D4FADBEC}"/>
  <sortState xmlns:xlrd2="http://schemas.microsoft.com/office/spreadsheetml/2017/richdata2" ref="A2:H13">
    <sortCondition descending="1" ref="H2:H13"/>
    <sortCondition ref="F2:F13"/>
  </sortState>
  <tableColumns count="8">
    <tableColumn id="1" xr3:uid="{6374312C-890B-DA42-A7FA-6FC172E5A626}" name="task_name" dataDxfId="92" totalsRowDxfId="7"/>
    <tableColumn id="8" xr3:uid="{073317FD-1436-5541-9416-0C42F0B37258}" name="task_name_better" dataDxfId="91" totalsRowDxfId="6"/>
    <tableColumn id="2" xr3:uid="{5CAAEA7F-3B0C-3944-920A-EE74BAE561E7}" name="model_name" dataDxfId="90" totalsRowDxfId="5"/>
    <tableColumn id="6" xr3:uid="{8FB6C0CF-CF22-4C45-A05F-4379E28286B7}" name="model_name_better" dataDxfId="89" totalsRowDxfId="4"/>
    <tableColumn id="3" xr3:uid="{5380910C-857C-5B41-AE4D-24EB552A4BEC}" name="task_model" dataDxfId="88" totalsRowDxfId="3"/>
    <tableColumn id="4" xr3:uid="{97DF686C-F9F6-684C-BF5A-07095A2647BE}" name="balanced_accuracy_mean" totalsRowFunction="custom" dataDxfId="87" totalsRowDxfId="2">
      <totalsRowFormula>AVERAGE(F3:F13)</totalsRowFormula>
    </tableColumn>
    <tableColumn id="5" xr3:uid="{025D0624-AD00-9447-9D53-DC5AEAEAB0F6}" name="macro_f1_mean" totalsRowFunction="custom" dataDxfId="86" totalsRowDxfId="1">
      <totalsRowFormula>AVERAGE(G3:G13)</totalsRowFormula>
    </tableColumn>
    <tableColumn id="7" xr3:uid="{E181C427-8718-B044-925B-6FE7D718EF3C}" name="signal_flag" dataDxfId="85" totalsRowDxfId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A3EF97-7678-EC45-B888-F29C82D60E08}" name="Table11" displayName="Table11" ref="A1:H14" totalsRowCount="1" headerRowDxfId="120" dataDxfId="118" headerRowBorderDxfId="119" tableBorderDxfId="117">
  <autoFilter ref="A1:H13" xr:uid="{C6A3EF97-7678-EC45-B888-F29C82D60E08}"/>
  <sortState xmlns:xlrd2="http://schemas.microsoft.com/office/spreadsheetml/2017/richdata2" ref="A2:H13">
    <sortCondition descending="1" ref="H2:H13"/>
    <sortCondition ref="F2:F13"/>
  </sortState>
  <tableColumns count="8">
    <tableColumn id="1" xr3:uid="{E5882BA5-E78D-284C-B53C-617E67918292}" name="task_name" dataDxfId="116" totalsRowDxfId="23"/>
    <tableColumn id="8" xr3:uid="{45B661FC-63B8-1845-93E2-12EF8CAE6ACE}" name="task_name_better" dataDxfId="115" totalsRowDxfId="22"/>
    <tableColumn id="2" xr3:uid="{5002A805-AA98-214D-BB5B-A6BC1C1F2CAB}" name="model_name" dataDxfId="114" totalsRowDxfId="21"/>
    <tableColumn id="6" xr3:uid="{3C6430D2-FCB4-E345-BCFE-161922E6079C}" name="model_name_better" dataDxfId="113" totalsRowDxfId="20"/>
    <tableColumn id="3" xr3:uid="{3452F9E3-A4DF-BA43-A2DD-29179CE42E65}" name="task_model" dataDxfId="112" totalsRowDxfId="19"/>
    <tableColumn id="4" xr3:uid="{F292781B-F869-134C-8774-214D7580F1C5}" name="balanced_accuracy_mean" totalsRowFunction="custom" dataDxfId="111" totalsRowDxfId="18">
      <totalsRowFormula>AVERAGE(F3:F13)</totalsRowFormula>
    </tableColumn>
    <tableColumn id="5" xr3:uid="{2CA5D4C4-4E8F-5F4A-85E0-FEDF61F4D206}" name="macro_f1_mean" totalsRowFunction="custom" dataDxfId="110" totalsRowDxfId="17">
      <totalsRowFormula>AVERAGE(G3:G13)</totalsRowFormula>
    </tableColumn>
    <tableColumn id="7" xr3:uid="{85A1BB48-02DA-704F-8075-66875844867B}" name="signal_flag" dataDxfId="109" totalsRowDxfId="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712CC1-E9AE-AC4E-A627-90534361CF1C}" name="Table14" displayName="Table14" ref="A1:H14" totalsRowCount="1" headerRowDxfId="84" dataDxfId="82" headerRowBorderDxfId="83" tableBorderDxfId="81">
  <autoFilter ref="A1:H13" xr:uid="{B2712CC1-E9AE-AC4E-A627-90534361CF1C}"/>
  <sortState xmlns:xlrd2="http://schemas.microsoft.com/office/spreadsheetml/2017/richdata2" ref="A2:H13">
    <sortCondition descending="1" ref="H2:H13"/>
    <sortCondition ref="F2:F13"/>
  </sortState>
  <tableColumns count="8">
    <tableColumn id="1" xr3:uid="{02D8805E-0A7C-CF42-8A80-589C337723C1}" name="task_name" dataDxfId="80" totalsRowDxfId="39"/>
    <tableColumn id="8" xr3:uid="{069BC9A1-6D50-9249-8850-E243D02C4362}" name="task_name_better" dataDxfId="79" totalsRowDxfId="38"/>
    <tableColumn id="2" xr3:uid="{5231E99D-D48C-604A-9835-33D03D991497}" name="model_name" dataDxfId="78" totalsRowDxfId="37"/>
    <tableColumn id="6" xr3:uid="{757B3F5B-0BC5-7D42-8C4A-845409FC5AEA}" name="model_name_better" dataDxfId="77" totalsRowDxfId="36"/>
    <tableColumn id="3" xr3:uid="{8C41849B-7CDC-284C-A25D-BACECCA7F7A0}" name="task_model" dataDxfId="76" totalsRowDxfId="35"/>
    <tableColumn id="4" xr3:uid="{B3B59721-D85F-654A-8224-AF277D146F97}" name="balanced_accuracy_mean" totalsRowFunction="custom" dataDxfId="75" totalsRowDxfId="34">
      <totalsRowFormula>AVERAGE(F3:F13)</totalsRowFormula>
    </tableColumn>
    <tableColumn id="5" xr3:uid="{2DD913F8-93F2-E947-A6FE-057B75C6A0D7}" name="macro_f1_mean" totalsRowFunction="custom" dataDxfId="74" totalsRowDxfId="33">
      <totalsRowFormula>AVERAGE(G3:G13)</totalsRowFormula>
    </tableColumn>
    <tableColumn id="7" xr3:uid="{BE128D2F-7A40-7F42-A8D7-CE3A1D443E57}" name="signal_flag" dataDxfId="73" totalsRowDxfId="3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780881-C7BE-A34D-9B17-043E1CEF2FAD}" name="Table12" displayName="Table12" ref="A1:H14" totalsRowCount="1" headerRowDxfId="108" dataDxfId="106" headerRowBorderDxfId="107" tableBorderDxfId="105">
  <autoFilter ref="A1:H13" xr:uid="{3B780881-C7BE-A34D-9B17-043E1CEF2FAD}"/>
  <sortState xmlns:xlrd2="http://schemas.microsoft.com/office/spreadsheetml/2017/richdata2" ref="A2:H13">
    <sortCondition descending="1" ref="H2:H13"/>
    <sortCondition ref="F2:F13"/>
  </sortState>
  <tableColumns count="8">
    <tableColumn id="1" xr3:uid="{A4A74DF5-8878-0D48-BE94-CA22270B30C5}" name="task_name" dataDxfId="104" totalsRowDxfId="15"/>
    <tableColumn id="8" xr3:uid="{643B6BCF-F669-8E4B-9563-CA11B11B03B5}" name="task_name_better" dataDxfId="103" totalsRowDxfId="14"/>
    <tableColumn id="2" xr3:uid="{473904A9-7DE0-6F42-82AC-5104C91C9CB1}" name="model_name" dataDxfId="102" totalsRowDxfId="13"/>
    <tableColumn id="6" xr3:uid="{08277F9E-74F2-5441-9ACD-DBFE622BAD34}" name="model_name_better" dataDxfId="101" totalsRowDxfId="12"/>
    <tableColumn id="3" xr3:uid="{CB99A8CF-B5F6-8944-A79E-DFF38F5ED746}" name="task_model" dataDxfId="100" totalsRowDxfId="11"/>
    <tableColumn id="4" xr3:uid="{68D5A583-61E4-B244-9682-9B1E6B5DE842}" name="balanced_accuracy_mean" totalsRowFunction="custom" dataDxfId="99" totalsRowDxfId="10">
      <totalsRowFormula>AVERAGE(F3:F13)</totalsRowFormula>
    </tableColumn>
    <tableColumn id="5" xr3:uid="{0197EA97-6BF1-2F4F-973B-58804D92FF87}" name="macro_f1_mean" totalsRowFunction="custom" dataDxfId="98" totalsRowDxfId="9">
      <totalsRowFormula>AVERAGE(G3:G13)</totalsRowFormula>
    </tableColumn>
    <tableColumn id="7" xr3:uid="{4E0C1201-B933-5F4C-9D08-10837A441436}" name="signal_flag" dataDxfId="97" totalsRowDxfId="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1D6F7D-1C6A-F64B-A428-386D6E344ABD}" name="Table15" displayName="Table15" ref="A1:H14" totalsRowCount="1" headerRowDxfId="72" dataDxfId="70" headerRowBorderDxfId="71" tableBorderDxfId="69">
  <autoFilter ref="A1:H13" xr:uid="{271D6F7D-1C6A-F64B-A428-386D6E344ABD}"/>
  <sortState xmlns:xlrd2="http://schemas.microsoft.com/office/spreadsheetml/2017/richdata2" ref="A2:H13">
    <sortCondition descending="1" ref="H2:H13"/>
    <sortCondition ref="F2:F13"/>
  </sortState>
  <tableColumns count="8">
    <tableColumn id="1" xr3:uid="{E6C8AA3D-BA72-4E49-8A2F-1FA13FDCD217}" name="task_name" dataDxfId="68" totalsRowDxfId="47"/>
    <tableColumn id="8" xr3:uid="{808B8353-6E8E-7043-BCD5-3D4237C51963}" name="task_name_better" dataDxfId="67" totalsRowDxfId="46"/>
    <tableColumn id="2" xr3:uid="{4AE861CA-2C44-E040-A780-66F227D793C9}" name="model_name" dataDxfId="66" totalsRowDxfId="45"/>
    <tableColumn id="6" xr3:uid="{5DE88E96-2539-7443-8A1D-C53581F5783D}" name="model_name_better" dataDxfId="65" totalsRowDxfId="44"/>
    <tableColumn id="3" xr3:uid="{A1761733-9D2B-E841-A02A-2694BB96FD6E}" name="task_model" dataDxfId="64" totalsRowDxfId="43"/>
    <tableColumn id="4" xr3:uid="{202D40AD-E12E-744C-8EA0-80CCD8490A34}" name="balanced_accuracy_mean" totalsRowFunction="custom" dataDxfId="63" totalsRowDxfId="42">
      <totalsRowFormula>AVERAGE(F3:F13)</totalsRowFormula>
    </tableColumn>
    <tableColumn id="5" xr3:uid="{5CDFB833-42D7-5743-8544-FA94307CBD30}" name="macro_f1_mean" totalsRowFunction="custom" dataDxfId="62" totalsRowDxfId="41">
      <totalsRowFormula>AVERAGE(G3:G13)</totalsRowFormula>
    </tableColumn>
    <tableColumn id="7" xr3:uid="{371CD96D-B44F-E44A-AF19-3A1E71220A16}" name="signal_flag" dataDxfId="61" totalsRowDxfId="4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27B775-C7A6-BC4F-B663-B946EA212D18}" name="Table16" displayName="Table16" ref="A1:J7" totalsRowShown="0" headerRowDxfId="60" headerRowBorderDxfId="59" tableBorderDxfId="58">
  <autoFilter ref="A1:J7" xr:uid="{C527B775-C7A6-BC4F-B663-B946EA212D18}"/>
  <sortState xmlns:xlrd2="http://schemas.microsoft.com/office/spreadsheetml/2017/richdata2" ref="A2:H7">
    <sortCondition ref="G1:G7"/>
  </sortState>
  <tableColumns count="10">
    <tableColumn id="1" xr3:uid="{9ED5B514-B946-0E46-8CC4-65EB2916205D}" name="task_name" dataDxfId="57"/>
    <tableColumn id="2" xr3:uid="{6A16E901-5BDC-D444-B622-2DE255771BB6}" name="task_name_better" dataDxfId="56"/>
    <tableColumn id="3" xr3:uid="{851E4485-7C38-814F-9C47-82F349076D30}" name="model_name" dataDxfId="55"/>
    <tableColumn id="4" xr3:uid="{24C3B122-2693-FC4A-B315-868DA09E553F}" name="model_name_better" dataDxfId="54"/>
    <tableColumn id="5" xr3:uid="{04A3ECDA-65E9-9147-AE27-A3673EA119E3}" name="task_model" dataDxfId="53"/>
    <tableColumn id="8" xr3:uid="{81D89370-CEDE-024B-8FFC-AA5750DB51D0}" name="task_model_better" dataDxfId="52">
      <calculatedColumnFormula>Table16[[#This Row],[task_name_better]] &amp; CHAR(10) &amp; Table16[[#This Row],[model_name_better]]</calculatedColumnFormula>
    </tableColumn>
    <tableColumn id="6" xr3:uid="{F2AFC60A-9961-DD40-953C-64416062443D}" name="balanced_accuracy_mean" dataDxfId="51"/>
    <tableColumn id="7" xr3:uid="{A1A30C92-11B7-0F4E-9531-A757846C0FD4}" name="macro_f1_mean" dataDxfId="50"/>
    <tableColumn id="9" xr3:uid="{4F65909F-B121-AE44-AF11-294868465FDF}" name="Random Baseline"/>
    <tableColumn id="10" xr3:uid="{9C58D4C4-EF0C-8C46-B6CD-9C7A533B4EE4}" name="RelativeImprovementOverBaseline" dataDxfId="49">
      <calculatedColumnFormula>(Table16[[#This Row],[balanced_accuracy_mean]]-Table16[[#This Row],[Random Baseline]]) / Table16[[#This Row],[Random Baseline]]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875B8A2-F447-9E49-8555-6329BD1072C3}" name="Table17" displayName="Table17" ref="A1:B7" totalsRowShown="0">
  <autoFilter ref="A1:B7" xr:uid="{4875B8A2-F447-9E49-8555-6329BD1072C3}"/>
  <sortState xmlns:xlrd2="http://schemas.microsoft.com/office/spreadsheetml/2017/richdata2" ref="A2:B7">
    <sortCondition ref="B1:B7"/>
  </sortState>
  <tableColumns count="2">
    <tableColumn id="1" xr3:uid="{B6851B0E-C81C-9342-A50C-09E9F1869D61}" name="task_name"/>
    <tableColumn id="2" xr3:uid="{A77C3616-7FB4-134F-84FC-F909C19EBF75}" name="avg_accuracy" dataDxfId="48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2D48207-C6A6-B04D-8EB3-9C101B72CDA6}" name="Table18" displayName="Table18" ref="A1:D67" totalsRowShown="0" headerRowDxfId="155" tableBorderDxfId="154">
  <autoFilter ref="A1:D67" xr:uid="{42D48207-C6A6-B04D-8EB3-9C101B72CDA6}"/>
  <tableColumns count="4">
    <tableColumn id="1" xr3:uid="{3AECEAF4-D21F-404D-B8EE-F07B62D89BAD}" name="task_name" dataDxfId="153"/>
    <tableColumn id="2" xr3:uid="{29BCF6A8-6B27-E649-A01C-C672CC42A309}" name="model_name" dataDxfId="152"/>
    <tableColumn id="3" xr3:uid="{D9C2E662-0375-8348-B4F3-6AC19DBC13CC}" name="task_model" dataDxfId="151"/>
    <tableColumn id="4" xr3:uid="{1EA0313A-4D90-904E-A9EA-3371651E833A}" name="balanced_accuracy_mean" dataDxfId="15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F5FB4A-A0FD-804F-9CCC-C6778240EA4A}" name="Table3" displayName="Table3" ref="F1:H12" totalsRowShown="0" headerRowDxfId="149" dataDxfId="148">
  <autoFilter ref="F1:H12" xr:uid="{F9F5FB4A-A0FD-804F-9CCC-C6778240EA4A}"/>
  <sortState xmlns:xlrd2="http://schemas.microsoft.com/office/spreadsheetml/2017/richdata2" ref="F2:H12">
    <sortCondition ref="H1:H12"/>
  </sortState>
  <tableColumns count="3">
    <tableColumn id="1" xr3:uid="{99B910B8-21EF-4A44-B5DF-9330EAD68E65}" name="model_name" dataDxfId="147"/>
    <tableColumn id="2" xr3:uid="{6B05F421-F98E-EC45-B423-8B2ECCA65FC4}" name="model_name_better" dataDxfId="146"/>
    <tableColumn id="3" xr3:uid="{B0652A93-BFFA-0048-A590-459A6FB9D430}" name="avg_relative_improvement" dataDxfId="145">
      <calculatedColumnFormula>AVERAGEIF(irish_model_summary_rebuilt!B:B, F2, irish_model_summary_rebuilt!N:N)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F8C7-076C-2E42-B316-B7E3FE7FF9E2}">
  <dimension ref="A1:N67"/>
  <sheetViews>
    <sheetView topLeftCell="A41" workbookViewId="0">
      <selection activeCell="E77" sqref="E77"/>
    </sheetView>
  </sheetViews>
  <sheetFormatPr baseColWidth="10" defaultRowHeight="16" x14ac:dyDescent="0.2"/>
  <cols>
    <col min="1" max="1" width="17" bestFit="1" customWidth="1"/>
    <col min="2" max="2" width="14.33203125" bestFit="1" customWidth="1"/>
    <col min="3" max="3" width="23.5" customWidth="1"/>
    <col min="4" max="4" width="12.6640625" bestFit="1" customWidth="1"/>
    <col min="5" max="5" width="13.1640625" bestFit="1" customWidth="1"/>
    <col min="6" max="6" width="12" bestFit="1" customWidth="1"/>
    <col min="7" max="7" width="52.6640625" bestFit="1" customWidth="1"/>
    <col min="8" max="8" width="36.6640625" bestFit="1" customWidth="1"/>
    <col min="9" max="9" width="19.83203125" bestFit="1" customWidth="1"/>
    <col min="10" max="10" width="20.83203125" bestFit="1" customWidth="1"/>
    <col min="11" max="11" width="25.33203125" bestFit="1" customWidth="1"/>
    <col min="12" max="12" width="19.83203125" bestFit="1" customWidth="1"/>
    <col min="13" max="13" width="11.1640625" bestFit="1" customWidth="1"/>
    <col min="14" max="14" width="21.83203125" bestFit="1" customWidth="1"/>
  </cols>
  <sheetData>
    <row r="1" spans="1:14" x14ac:dyDescent="0.2">
      <c r="A1" t="s">
        <v>0</v>
      </c>
      <c r="B1" t="s">
        <v>1</v>
      </c>
      <c r="C1" t="s">
        <v>235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341</v>
      </c>
      <c r="N1" t="s">
        <v>342</v>
      </c>
    </row>
    <row r="2" spans="1:14" x14ac:dyDescent="0.2">
      <c r="A2" t="s">
        <v>11</v>
      </c>
      <c r="B2" t="s">
        <v>12</v>
      </c>
      <c r="C2" t="str">
        <f>_xlfn.CONCAT(Table1[[#This Row],[task_name]]," -  ",Table1[[#This Row],[model_name]])</f>
        <v>dail_only_province -  knn_k1</v>
      </c>
      <c r="D2">
        <v>1226</v>
      </c>
      <c r="E2">
        <v>189</v>
      </c>
      <c r="F2">
        <v>4</v>
      </c>
      <c r="G2" t="s">
        <v>13</v>
      </c>
      <c r="H2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>
        <f>1/Table1[[#This Row],[n_classes]]</f>
        <v>0.25</v>
      </c>
      <c r="N2">
        <f>(Table1[[#This Row],[balanced_accuracy_mean]]-Table1[[#This Row],[Baseline]])/Table1[[#This Row],[Baseline]]</f>
        <v>5.6748704928563987E-2</v>
      </c>
    </row>
    <row r="3" spans="1:14" x14ac:dyDescent="0.2">
      <c r="A3" t="s">
        <v>11</v>
      </c>
      <c r="B3" t="s">
        <v>19</v>
      </c>
      <c r="C3" t="str">
        <f>_xlfn.CONCAT(Table1[[#This Row],[task_name]]," -  ",Table1[[#This Row],[model_name]])</f>
        <v>dail_only_province -  knn_k11</v>
      </c>
      <c r="D3">
        <v>1226</v>
      </c>
      <c r="E3">
        <v>189</v>
      </c>
      <c r="F3">
        <v>4</v>
      </c>
      <c r="G3" t="s">
        <v>13</v>
      </c>
      <c r="H3" t="s">
        <v>14</v>
      </c>
      <c r="I3" s="1" t="s">
        <v>20</v>
      </c>
      <c r="J3" s="1" t="s">
        <v>21</v>
      </c>
      <c r="K3" s="1" t="s">
        <v>22</v>
      </c>
      <c r="L3" s="1" t="s">
        <v>23</v>
      </c>
      <c r="M3">
        <f>1/Table1[[#This Row],[n_classes]]</f>
        <v>0.25</v>
      </c>
      <c r="N3">
        <f>(Table1[[#This Row],[balanced_accuracy_mean]]-Table1[[#This Row],[Baseline]])/Table1[[#This Row],[Baseline]]</f>
        <v>8.0357302969612077E-2</v>
      </c>
    </row>
    <row r="4" spans="1:14" x14ac:dyDescent="0.2">
      <c r="A4" t="s">
        <v>11</v>
      </c>
      <c r="B4" t="s">
        <v>24</v>
      </c>
      <c r="C4" t="str">
        <f>_xlfn.CONCAT(Table1[[#This Row],[task_name]]," -  ",Table1[[#This Row],[model_name]])</f>
        <v>dail_only_province -  knn_k3</v>
      </c>
      <c r="D4">
        <v>1226</v>
      </c>
      <c r="E4">
        <v>189</v>
      </c>
      <c r="F4">
        <v>4</v>
      </c>
      <c r="G4" t="s">
        <v>13</v>
      </c>
      <c r="H4" t="s">
        <v>14</v>
      </c>
      <c r="I4" s="1" t="s">
        <v>25</v>
      </c>
      <c r="J4">
        <v>2.4456747407048101E-2</v>
      </c>
      <c r="K4" s="1" t="s">
        <v>26</v>
      </c>
      <c r="L4" s="1" t="s">
        <v>27</v>
      </c>
      <c r="M4">
        <f>1/Table1[[#This Row],[n_classes]]</f>
        <v>0.25</v>
      </c>
      <c r="N4">
        <f>(Table1[[#This Row],[balanced_accuracy_mean]]-Table1[[#This Row],[Baseline]])/Table1[[#This Row],[Baseline]]</f>
        <v>5.467161312800406E-2</v>
      </c>
    </row>
    <row r="5" spans="1:14" x14ac:dyDescent="0.2">
      <c r="A5" t="s">
        <v>11</v>
      </c>
      <c r="B5" t="s">
        <v>28</v>
      </c>
      <c r="C5" t="str">
        <f>_xlfn.CONCAT(Table1[[#This Row],[task_name]]," -  ",Table1[[#This Row],[model_name]])</f>
        <v>dail_only_province -  knn_k5</v>
      </c>
      <c r="D5">
        <v>1226</v>
      </c>
      <c r="E5">
        <v>189</v>
      </c>
      <c r="F5">
        <v>4</v>
      </c>
      <c r="G5" t="s">
        <v>13</v>
      </c>
      <c r="H5" t="s">
        <v>14</v>
      </c>
      <c r="I5" s="1" t="s">
        <v>29</v>
      </c>
      <c r="J5">
        <v>3.9592595818898103E-2</v>
      </c>
      <c r="K5" s="1" t="s">
        <v>30</v>
      </c>
      <c r="L5" s="1" t="s">
        <v>31</v>
      </c>
      <c r="M5">
        <f>1/Table1[[#This Row],[n_classes]]</f>
        <v>0.25</v>
      </c>
      <c r="N5">
        <f>(Table1[[#This Row],[balanced_accuracy_mean]]-Table1[[#This Row],[Baseline]])/Table1[[#This Row],[Baseline]]</f>
        <v>6.1508128603728007E-2</v>
      </c>
    </row>
    <row r="6" spans="1:14" x14ac:dyDescent="0.2">
      <c r="A6" t="s">
        <v>11</v>
      </c>
      <c r="B6" t="s">
        <v>32</v>
      </c>
      <c r="C6" t="str">
        <f>_xlfn.CONCAT(Table1[[#This Row],[task_name]]," -  ",Table1[[#This Row],[model_name]])</f>
        <v>dail_only_province -  knn_k7</v>
      </c>
      <c r="D6">
        <v>1226</v>
      </c>
      <c r="E6">
        <v>189</v>
      </c>
      <c r="F6">
        <v>4</v>
      </c>
      <c r="G6" t="s">
        <v>13</v>
      </c>
      <c r="H6" t="s">
        <v>14</v>
      </c>
      <c r="I6" s="1" t="s">
        <v>33</v>
      </c>
      <c r="J6">
        <v>2.5132097050121101E-2</v>
      </c>
      <c r="K6" s="1" t="s">
        <v>34</v>
      </c>
      <c r="L6" s="1" t="s">
        <v>35</v>
      </c>
      <c r="M6">
        <f>1/Table1[[#This Row],[n_classes]]</f>
        <v>0.25</v>
      </c>
      <c r="N6">
        <f>(Table1[[#This Row],[balanced_accuracy_mean]]-Table1[[#This Row],[Baseline]])/Table1[[#This Row],[Baseline]]</f>
        <v>5.4310830034528079E-2</v>
      </c>
    </row>
    <row r="7" spans="1:14" x14ac:dyDescent="0.2">
      <c r="A7" t="s">
        <v>11</v>
      </c>
      <c r="B7" t="s">
        <v>36</v>
      </c>
      <c r="C7" t="str">
        <f>_xlfn.CONCAT(Table1[[#This Row],[task_name]]," -  ",Table1[[#This Row],[model_name]])</f>
        <v>dail_only_province -  logreg</v>
      </c>
      <c r="D7">
        <v>1226</v>
      </c>
      <c r="E7">
        <v>189</v>
      </c>
      <c r="F7">
        <v>4</v>
      </c>
      <c r="G7" t="s">
        <v>13</v>
      </c>
      <c r="H7" t="s">
        <v>14</v>
      </c>
      <c r="I7" s="1" t="s">
        <v>37</v>
      </c>
      <c r="J7">
        <v>4.55576580361753E-2</v>
      </c>
      <c r="K7" s="1" t="s">
        <v>38</v>
      </c>
      <c r="L7" s="1" t="s">
        <v>39</v>
      </c>
      <c r="M7">
        <f>1/Table1[[#This Row],[n_classes]]</f>
        <v>0.25</v>
      </c>
      <c r="N7">
        <f>(Table1[[#This Row],[balanced_accuracy_mean]]-Table1[[#This Row],[Baseline]])/Table1[[#This Row],[Baseline]]</f>
        <v>8.8435469032668079E-2</v>
      </c>
    </row>
    <row r="8" spans="1:14" x14ac:dyDescent="0.2">
      <c r="A8" t="s">
        <v>11</v>
      </c>
      <c r="B8" t="s">
        <v>40</v>
      </c>
      <c r="C8" t="str">
        <f>_xlfn.CONCAT(Table1[[#This Row],[task_name]]," -  ",Table1[[#This Row],[model_name]])</f>
        <v>dail_only_province -  logreg_weighted</v>
      </c>
      <c r="D8">
        <v>1226</v>
      </c>
      <c r="E8">
        <v>189</v>
      </c>
      <c r="F8">
        <v>4</v>
      </c>
      <c r="G8" t="s">
        <v>13</v>
      </c>
      <c r="H8" t="s">
        <v>14</v>
      </c>
      <c r="I8">
        <v>0.29943845917184603</v>
      </c>
      <c r="J8">
        <v>6.9414524336353697E-3</v>
      </c>
      <c r="K8" s="1" t="s">
        <v>41</v>
      </c>
      <c r="L8" s="1" t="s">
        <v>42</v>
      </c>
      <c r="M8">
        <f>1/Table1[[#This Row],[n_classes]]</f>
        <v>0.25</v>
      </c>
      <c r="N8">
        <f>(Table1[[#This Row],[balanced_accuracy_mean]]-Table1[[#This Row],[Baseline]])/Table1[[#This Row],[Baseline]]</f>
        <v>8.755842879807596E-2</v>
      </c>
    </row>
    <row r="9" spans="1:14" x14ac:dyDescent="0.2">
      <c r="A9" t="s">
        <v>11</v>
      </c>
      <c r="B9" t="s">
        <v>43</v>
      </c>
      <c r="C9" t="str">
        <f>_xlfn.CONCAT(Table1[[#This Row],[task_name]]," -  ",Table1[[#This Row],[model_name]])</f>
        <v>dail_only_province -  nb</v>
      </c>
      <c r="D9">
        <v>1226</v>
      </c>
      <c r="E9">
        <v>189</v>
      </c>
      <c r="F9">
        <v>4</v>
      </c>
      <c r="G9" t="s">
        <v>13</v>
      </c>
      <c r="H9" t="s">
        <v>14</v>
      </c>
      <c r="I9" s="1" t="s">
        <v>44</v>
      </c>
      <c r="J9" s="1" t="s">
        <v>45</v>
      </c>
      <c r="K9" s="1" t="s">
        <v>46</v>
      </c>
      <c r="L9" s="1" t="s">
        <v>47</v>
      </c>
      <c r="M9">
        <f>1/Table1[[#This Row],[n_classes]]</f>
        <v>0.25</v>
      </c>
      <c r="N9">
        <f>(Table1[[#This Row],[balanced_accuracy_mean]]-Table1[[#This Row],[Baseline]])/Table1[[#This Row],[Baseline]]</f>
        <v>-3.6131845094499959E-2</v>
      </c>
    </row>
    <row r="10" spans="1:14" x14ac:dyDescent="0.2">
      <c r="A10" t="s">
        <v>11</v>
      </c>
      <c r="B10" t="s">
        <v>48</v>
      </c>
      <c r="C10" t="str">
        <f>_xlfn.CONCAT(Table1[[#This Row],[task_name]]," -  ",Table1[[#This Row],[model_name]])</f>
        <v>dail_only_province -  rf</v>
      </c>
      <c r="D10">
        <v>1226</v>
      </c>
      <c r="E10">
        <v>189</v>
      </c>
      <c r="F10">
        <v>4</v>
      </c>
      <c r="G10" t="s">
        <v>13</v>
      </c>
      <c r="H10" t="s">
        <v>14</v>
      </c>
      <c r="I10" s="1" t="s">
        <v>49</v>
      </c>
      <c r="J10">
        <v>5.1191307918449301E-2</v>
      </c>
      <c r="K10" s="1" t="s">
        <v>50</v>
      </c>
      <c r="L10" s="1" t="s">
        <v>51</v>
      </c>
      <c r="M10">
        <f>1/Table1[[#This Row],[n_classes]]</f>
        <v>0.25</v>
      </c>
      <c r="N10">
        <f>(Table1[[#This Row],[balanced_accuracy_mean]]-Table1[[#This Row],[Baseline]])/Table1[[#This Row],[Baseline]]</f>
        <v>-1.0071447320863958E-2</v>
      </c>
    </row>
    <row r="11" spans="1:14" x14ac:dyDescent="0.2">
      <c r="A11" t="s">
        <v>11</v>
      </c>
      <c r="B11" t="s">
        <v>52</v>
      </c>
      <c r="C11" t="str">
        <f>_xlfn.CONCAT(Table1[[#This Row],[task_name]]," -  ",Table1[[#This Row],[model_name]])</f>
        <v>dail_only_province -  svm_linear</v>
      </c>
      <c r="D11">
        <v>1226</v>
      </c>
      <c r="E11">
        <v>189</v>
      </c>
      <c r="F11">
        <v>4</v>
      </c>
      <c r="G11" t="s">
        <v>13</v>
      </c>
      <c r="H11" t="s">
        <v>14</v>
      </c>
      <c r="I11" s="1" t="s">
        <v>53</v>
      </c>
      <c r="J11">
        <v>6.6309254228990103E-2</v>
      </c>
      <c r="K11" s="1" t="s">
        <v>54</v>
      </c>
      <c r="L11" s="1" t="s">
        <v>55</v>
      </c>
      <c r="M11">
        <f>1/Table1[[#This Row],[n_classes]]</f>
        <v>0.25</v>
      </c>
      <c r="N11">
        <f>(Table1[[#This Row],[balanced_accuracy_mean]]-Table1[[#This Row],[Baseline]])/Table1[[#This Row],[Baseline]]</f>
        <v>4.5024404315036071E-2</v>
      </c>
    </row>
    <row r="12" spans="1:14" x14ac:dyDescent="0.2">
      <c r="A12" t="s">
        <v>11</v>
      </c>
      <c r="B12" t="s">
        <v>56</v>
      </c>
      <c r="C12" t="str">
        <f>_xlfn.CONCAT(Table1[[#This Row],[task_name]]," -  ",Table1[[#This Row],[model_name]])</f>
        <v>dail_only_province -  svm_rbf</v>
      </c>
      <c r="D12">
        <v>1226</v>
      </c>
      <c r="E12">
        <v>189</v>
      </c>
      <c r="F12">
        <v>4</v>
      </c>
      <c r="G12" t="s">
        <v>13</v>
      </c>
      <c r="H12" t="s">
        <v>14</v>
      </c>
      <c r="I12" s="1" t="s">
        <v>57</v>
      </c>
      <c r="J12" s="1" t="s">
        <v>58</v>
      </c>
      <c r="K12" s="1" t="s">
        <v>59</v>
      </c>
      <c r="L12" s="1" t="s">
        <v>60</v>
      </c>
      <c r="M12">
        <f>1/Table1[[#This Row],[n_classes]]</f>
        <v>0.25</v>
      </c>
      <c r="N12">
        <f>(Table1[[#This Row],[balanced_accuracy_mean]]-Table1[[#This Row],[Baseline]])/Table1[[#This Row],[Baseline]]</f>
        <v>-1.2544748380015958E-2</v>
      </c>
    </row>
    <row r="13" spans="1:14" x14ac:dyDescent="0.2">
      <c r="A13" t="s">
        <v>61</v>
      </c>
      <c r="B13" t="s">
        <v>12</v>
      </c>
      <c r="C13" t="str">
        <f>_xlfn.CONCAT(Table1[[#This Row],[task_name]]," -  ",Table1[[#This Row],[model_name]])</f>
        <v>dail_vs_ni -  knn_k1</v>
      </c>
      <c r="D13">
        <v>1674</v>
      </c>
      <c r="E13">
        <v>212</v>
      </c>
      <c r="F13">
        <v>2</v>
      </c>
      <c r="G13" t="s">
        <v>62</v>
      </c>
      <c r="H13" t="s">
        <v>63</v>
      </c>
      <c r="I13" s="1" t="s">
        <v>64</v>
      </c>
      <c r="J13" s="1" t="s">
        <v>65</v>
      </c>
      <c r="K13">
        <v>0.66043166910492002</v>
      </c>
      <c r="L13" s="1" t="s">
        <v>66</v>
      </c>
      <c r="M13">
        <f>1/Table1[[#This Row],[n_classes]]</f>
        <v>0.5</v>
      </c>
      <c r="N13">
        <f>(Table1[[#This Row],[balanced_accuracy_mean]]-Table1[[#This Row],[Baseline]])/Table1[[#This Row],[Baseline]]</f>
        <v>0.32086333820984003</v>
      </c>
    </row>
    <row r="14" spans="1:14" x14ac:dyDescent="0.2">
      <c r="A14" t="s">
        <v>61</v>
      </c>
      <c r="B14" t="s">
        <v>19</v>
      </c>
      <c r="C14" t="str">
        <f>_xlfn.CONCAT(Table1[[#This Row],[task_name]]," -  ",Table1[[#This Row],[model_name]])</f>
        <v>dail_vs_ni -  knn_k11</v>
      </c>
      <c r="D14">
        <v>1674</v>
      </c>
      <c r="E14">
        <v>212</v>
      </c>
      <c r="F14">
        <v>2</v>
      </c>
      <c r="G14" t="s">
        <v>62</v>
      </c>
      <c r="H14" t="s">
        <v>63</v>
      </c>
      <c r="I14" s="1" t="s">
        <v>67</v>
      </c>
      <c r="J14">
        <v>3.7374725341996498E-2</v>
      </c>
      <c r="K14" s="1" t="s">
        <v>68</v>
      </c>
      <c r="L14" s="1" t="s">
        <v>69</v>
      </c>
      <c r="M14">
        <f>1/Table1[[#This Row],[n_classes]]</f>
        <v>0.5</v>
      </c>
      <c r="N14">
        <f>(Table1[[#This Row],[balanced_accuracy_mean]]-Table1[[#This Row],[Baseline]])/Table1[[#This Row],[Baseline]]</f>
        <v>0.31387480943374202</v>
      </c>
    </row>
    <row r="15" spans="1:14" x14ac:dyDescent="0.2">
      <c r="A15" t="s">
        <v>61</v>
      </c>
      <c r="B15" t="s">
        <v>24</v>
      </c>
      <c r="C15" t="str">
        <f>_xlfn.CONCAT(Table1[[#This Row],[task_name]]," -  ",Table1[[#This Row],[model_name]])</f>
        <v>dail_vs_ni -  knn_k3</v>
      </c>
      <c r="D15">
        <v>1674</v>
      </c>
      <c r="E15">
        <v>212</v>
      </c>
      <c r="F15">
        <v>2</v>
      </c>
      <c r="G15" t="s">
        <v>62</v>
      </c>
      <c r="H15" t="s">
        <v>63</v>
      </c>
      <c r="I15" s="1" t="s">
        <v>70</v>
      </c>
      <c r="J15">
        <v>3.3383342970468001E-2</v>
      </c>
      <c r="K15" s="1" t="s">
        <v>71</v>
      </c>
      <c r="L15" s="1" t="s">
        <v>72</v>
      </c>
      <c r="M15">
        <f>1/Table1[[#This Row],[n_classes]]</f>
        <v>0.5</v>
      </c>
      <c r="N15">
        <f>(Table1[[#This Row],[balanced_accuracy_mean]]-Table1[[#This Row],[Baseline]])/Table1[[#This Row],[Baseline]]</f>
        <v>0.33767541610439</v>
      </c>
    </row>
    <row r="16" spans="1:14" x14ac:dyDescent="0.2">
      <c r="A16" t="s">
        <v>61</v>
      </c>
      <c r="B16" t="s">
        <v>28</v>
      </c>
      <c r="C16" t="str">
        <f>_xlfn.CONCAT(Table1[[#This Row],[task_name]]," -  ",Table1[[#This Row],[model_name]])</f>
        <v>dail_vs_ni -  knn_k5</v>
      </c>
      <c r="D16">
        <v>1674</v>
      </c>
      <c r="E16">
        <v>212</v>
      </c>
      <c r="F16">
        <v>2</v>
      </c>
      <c r="G16" t="s">
        <v>62</v>
      </c>
      <c r="H16" t="s">
        <v>63</v>
      </c>
      <c r="I16" s="1" t="s">
        <v>73</v>
      </c>
      <c r="J16">
        <v>2.90242692230528E-2</v>
      </c>
      <c r="K16" s="1" t="s">
        <v>74</v>
      </c>
      <c r="L16" s="1" t="s">
        <v>75</v>
      </c>
      <c r="M16">
        <f>1/Table1[[#This Row],[n_classes]]</f>
        <v>0.5</v>
      </c>
      <c r="N16">
        <f>(Table1[[#This Row],[balanced_accuracy_mean]]-Table1[[#This Row],[Baseline]])/Table1[[#This Row],[Baseline]]</f>
        <v>0.34190146240197605</v>
      </c>
    </row>
    <row r="17" spans="1:14" x14ac:dyDescent="0.2">
      <c r="A17" t="s">
        <v>61</v>
      </c>
      <c r="B17" t="s">
        <v>32</v>
      </c>
      <c r="C17" t="str">
        <f>_xlfn.CONCAT(Table1[[#This Row],[task_name]]," -  ",Table1[[#This Row],[model_name]])</f>
        <v>dail_vs_ni -  knn_k7</v>
      </c>
      <c r="D17">
        <v>1674</v>
      </c>
      <c r="E17">
        <v>212</v>
      </c>
      <c r="F17">
        <v>2</v>
      </c>
      <c r="G17" t="s">
        <v>62</v>
      </c>
      <c r="H17" t="s">
        <v>63</v>
      </c>
      <c r="I17">
        <v>0.81244684055513705</v>
      </c>
      <c r="J17" s="1" t="s">
        <v>76</v>
      </c>
      <c r="K17" s="1" t="s">
        <v>77</v>
      </c>
      <c r="L17" s="1" t="s">
        <v>78</v>
      </c>
      <c r="M17">
        <f>1/Table1[[#This Row],[n_classes]]</f>
        <v>0.5</v>
      </c>
      <c r="N17">
        <f>(Table1[[#This Row],[balanced_accuracy_mean]]-Table1[[#This Row],[Baseline]])/Table1[[#This Row],[Baseline]]</f>
        <v>0.31677608156830406</v>
      </c>
    </row>
    <row r="18" spans="1:14" x14ac:dyDescent="0.2">
      <c r="A18" t="s">
        <v>61</v>
      </c>
      <c r="B18" t="s">
        <v>36</v>
      </c>
      <c r="C18" t="str">
        <f>_xlfn.CONCAT(Table1[[#This Row],[task_name]]," -  ",Table1[[#This Row],[model_name]])</f>
        <v>dail_vs_ni -  logreg</v>
      </c>
      <c r="D18">
        <v>1674</v>
      </c>
      <c r="E18">
        <v>212</v>
      </c>
      <c r="F18">
        <v>2</v>
      </c>
      <c r="G18" t="s">
        <v>62</v>
      </c>
      <c r="H18" t="s">
        <v>63</v>
      </c>
      <c r="I18" s="1" t="s">
        <v>79</v>
      </c>
      <c r="J18">
        <v>5.0155079217369301E-2</v>
      </c>
      <c r="K18" s="1" t="s">
        <v>80</v>
      </c>
      <c r="L18">
        <v>0.73700339313221797</v>
      </c>
      <c r="M18">
        <f>1/Table1[[#This Row],[n_classes]]</f>
        <v>0.5</v>
      </c>
      <c r="N18">
        <f>(Table1[[#This Row],[balanced_accuracy_mean]]-Table1[[#This Row],[Baseline]])/Table1[[#This Row],[Baseline]]</f>
        <v>0.44749162722417002</v>
      </c>
    </row>
    <row r="19" spans="1:14" x14ac:dyDescent="0.2">
      <c r="A19" t="s">
        <v>61</v>
      </c>
      <c r="B19" t="s">
        <v>40</v>
      </c>
      <c r="C19" t="str">
        <f>_xlfn.CONCAT(Table1[[#This Row],[task_name]]," -  ",Table1[[#This Row],[model_name]])</f>
        <v>dail_vs_ni -  logreg_weighted</v>
      </c>
      <c r="D19">
        <v>1674</v>
      </c>
      <c r="E19">
        <v>212</v>
      </c>
      <c r="F19">
        <v>2</v>
      </c>
      <c r="G19" t="s">
        <v>62</v>
      </c>
      <c r="H19" t="s">
        <v>63</v>
      </c>
      <c r="I19" s="1" t="s">
        <v>81</v>
      </c>
      <c r="J19">
        <v>6.8072263523555707E-2</v>
      </c>
      <c r="K19" s="1" t="s">
        <v>82</v>
      </c>
      <c r="L19" s="1" t="s">
        <v>83</v>
      </c>
      <c r="M19">
        <f>1/Table1[[#This Row],[n_classes]]</f>
        <v>0.5</v>
      </c>
      <c r="N19">
        <f>(Table1[[#This Row],[balanced_accuracy_mean]]-Table1[[#This Row],[Baseline]])/Table1[[#This Row],[Baseline]]</f>
        <v>0.530900588623892</v>
      </c>
    </row>
    <row r="20" spans="1:14" x14ac:dyDescent="0.2">
      <c r="A20" t="s">
        <v>61</v>
      </c>
      <c r="B20" t="s">
        <v>43</v>
      </c>
      <c r="C20" t="str">
        <f>_xlfn.CONCAT(Table1[[#This Row],[task_name]]," -  ",Table1[[#This Row],[model_name]])</f>
        <v>dail_vs_ni -  nb</v>
      </c>
      <c r="D20">
        <v>1674</v>
      </c>
      <c r="E20">
        <v>212</v>
      </c>
      <c r="F20">
        <v>2</v>
      </c>
      <c r="G20" t="s">
        <v>62</v>
      </c>
      <c r="H20" t="s">
        <v>63</v>
      </c>
      <c r="I20" s="1" t="s">
        <v>84</v>
      </c>
      <c r="J20" s="1" t="s">
        <v>85</v>
      </c>
      <c r="K20" s="1" t="s">
        <v>86</v>
      </c>
      <c r="L20" s="1" t="s">
        <v>87</v>
      </c>
      <c r="M20">
        <f>1/Table1[[#This Row],[n_classes]]</f>
        <v>0.5</v>
      </c>
      <c r="N20">
        <f>(Table1[[#This Row],[balanced_accuracy_mean]]-Table1[[#This Row],[Baseline]])/Table1[[#This Row],[Baseline]]</f>
        <v>0.57484535814070403</v>
      </c>
    </row>
    <row r="21" spans="1:14" x14ac:dyDescent="0.2">
      <c r="A21" t="s">
        <v>61</v>
      </c>
      <c r="B21" t="s">
        <v>48</v>
      </c>
      <c r="C21" t="str">
        <f>_xlfn.CONCAT(Table1[[#This Row],[task_name]]," -  ",Table1[[#This Row],[model_name]])</f>
        <v>dail_vs_ni -  rf</v>
      </c>
      <c r="D21">
        <v>1674</v>
      </c>
      <c r="E21">
        <v>212</v>
      </c>
      <c r="F21">
        <v>2</v>
      </c>
      <c r="G21" t="s">
        <v>62</v>
      </c>
      <c r="H21" t="s">
        <v>63</v>
      </c>
      <c r="I21">
        <v>0.84590784367684202</v>
      </c>
      <c r="J21">
        <v>3.26885878161546E-2</v>
      </c>
      <c r="K21" s="1" t="s">
        <v>88</v>
      </c>
      <c r="L21" s="1" t="s">
        <v>89</v>
      </c>
      <c r="M21">
        <f>1/Table1[[#This Row],[n_classes]]</f>
        <v>0.5</v>
      </c>
      <c r="N21">
        <f>(Table1[[#This Row],[balanced_accuracy_mean]]-Table1[[#This Row],[Baseline]])/Table1[[#This Row],[Baseline]]</f>
        <v>0.43414140160611803</v>
      </c>
    </row>
    <row r="22" spans="1:14" x14ac:dyDescent="0.2">
      <c r="A22" t="s">
        <v>61</v>
      </c>
      <c r="B22" t="s">
        <v>52</v>
      </c>
      <c r="C22" t="str">
        <f>_xlfn.CONCAT(Table1[[#This Row],[task_name]]," -  ",Table1[[#This Row],[model_name]])</f>
        <v>dail_vs_ni -  svm_linear</v>
      </c>
      <c r="D22">
        <v>1674</v>
      </c>
      <c r="E22">
        <v>212</v>
      </c>
      <c r="F22">
        <v>2</v>
      </c>
      <c r="G22" t="s">
        <v>62</v>
      </c>
      <c r="H22" t="s">
        <v>63</v>
      </c>
      <c r="I22" s="1" t="s">
        <v>90</v>
      </c>
      <c r="J22">
        <v>4.7685447299600302E-2</v>
      </c>
      <c r="K22">
        <v>0.73857218814408898</v>
      </c>
      <c r="L22" s="1" t="s">
        <v>91</v>
      </c>
      <c r="M22">
        <f>1/Table1[[#This Row],[n_classes]]</f>
        <v>0.5</v>
      </c>
      <c r="N22">
        <f>(Table1[[#This Row],[balanced_accuracy_mean]]-Table1[[#This Row],[Baseline]])/Table1[[#This Row],[Baseline]]</f>
        <v>0.47714437628817796</v>
      </c>
    </row>
    <row r="23" spans="1:14" x14ac:dyDescent="0.2">
      <c r="A23" t="s">
        <v>61</v>
      </c>
      <c r="B23" t="s">
        <v>56</v>
      </c>
      <c r="C23" t="str">
        <f>_xlfn.CONCAT(Table1[[#This Row],[task_name]]," -  ",Table1[[#This Row],[model_name]])</f>
        <v>dail_vs_ni -  svm_rbf</v>
      </c>
      <c r="D23">
        <v>1674</v>
      </c>
      <c r="E23">
        <v>212</v>
      </c>
      <c r="F23">
        <v>2</v>
      </c>
      <c r="G23" t="s">
        <v>62</v>
      </c>
      <c r="H23" t="s">
        <v>63</v>
      </c>
      <c r="I23">
        <v>0.82087182586253005</v>
      </c>
      <c r="J23" s="1" t="s">
        <v>92</v>
      </c>
      <c r="K23" s="1" t="s">
        <v>93</v>
      </c>
      <c r="L23">
        <v>0.68346967094123001</v>
      </c>
      <c r="M23">
        <f>1/Table1[[#This Row],[n_classes]]</f>
        <v>0.5</v>
      </c>
      <c r="N23">
        <f>(Table1[[#This Row],[balanced_accuracy_mean]]-Table1[[#This Row],[Baseline]])/Table1[[#This Row],[Baseline]]</f>
        <v>0.31662470958294398</v>
      </c>
    </row>
    <row r="24" spans="1:14" x14ac:dyDescent="0.2">
      <c r="A24" t="s">
        <v>94</v>
      </c>
      <c r="B24" t="s">
        <v>12</v>
      </c>
      <c r="C24" t="str">
        <f>_xlfn.CONCAT(Table1[[#This Row],[task_name]]," -  ",Table1[[#This Row],[model_name]])</f>
        <v>leinster_vs_rest -  knn_k1</v>
      </c>
      <c r="D24">
        <v>1618</v>
      </c>
      <c r="E24">
        <v>206</v>
      </c>
      <c r="F24">
        <v>2</v>
      </c>
      <c r="G24" t="s">
        <v>95</v>
      </c>
      <c r="H24" t="s">
        <v>96</v>
      </c>
      <c r="I24" s="1" t="s">
        <v>97</v>
      </c>
      <c r="J24">
        <v>6.7893478399992394E-2</v>
      </c>
      <c r="K24" s="1" t="s">
        <v>98</v>
      </c>
      <c r="L24" s="1" t="s">
        <v>99</v>
      </c>
      <c r="M24">
        <f>1/Table1[[#This Row],[n_classes]]</f>
        <v>0.5</v>
      </c>
      <c r="N24">
        <f>(Table1[[#This Row],[balanced_accuracy_mean]]-Table1[[#This Row],[Baseline]])/Table1[[#This Row],[Baseline]]</f>
        <v>9.8684339999824067E-2</v>
      </c>
    </row>
    <row r="25" spans="1:14" x14ac:dyDescent="0.2">
      <c r="A25" t="s">
        <v>94</v>
      </c>
      <c r="B25" t="s">
        <v>19</v>
      </c>
      <c r="C25" t="str">
        <f>_xlfn.CONCAT(Table1[[#This Row],[task_name]]," -  ",Table1[[#This Row],[model_name]])</f>
        <v>leinster_vs_rest -  knn_k11</v>
      </c>
      <c r="D25">
        <v>1618</v>
      </c>
      <c r="E25">
        <v>206</v>
      </c>
      <c r="F25">
        <v>2</v>
      </c>
      <c r="G25" t="s">
        <v>95</v>
      </c>
      <c r="H25" t="s">
        <v>96</v>
      </c>
      <c r="I25" s="1" t="s">
        <v>100</v>
      </c>
      <c r="J25">
        <v>6.9519589630220396E-2</v>
      </c>
      <c r="K25" s="1" t="s">
        <v>101</v>
      </c>
      <c r="L25">
        <v>0.57526024921223495</v>
      </c>
      <c r="M25">
        <f>1/Table1[[#This Row],[n_classes]]</f>
        <v>0.5</v>
      </c>
      <c r="N25">
        <f>(Table1[[#This Row],[balanced_accuracy_mean]]-Table1[[#This Row],[Baseline]])/Table1[[#This Row],[Baseline]]</f>
        <v>0.14518431251160191</v>
      </c>
    </row>
    <row r="26" spans="1:14" x14ac:dyDescent="0.2">
      <c r="A26" t="s">
        <v>94</v>
      </c>
      <c r="B26" t="s">
        <v>24</v>
      </c>
      <c r="C26" t="str">
        <f>_xlfn.CONCAT(Table1[[#This Row],[task_name]]," -  ",Table1[[#This Row],[model_name]])</f>
        <v>leinster_vs_rest -  knn_k3</v>
      </c>
      <c r="D26">
        <v>1618</v>
      </c>
      <c r="E26">
        <v>206</v>
      </c>
      <c r="F26">
        <v>2</v>
      </c>
      <c r="G26" t="s">
        <v>95</v>
      </c>
      <c r="H26" t="s">
        <v>96</v>
      </c>
      <c r="I26" s="1" t="s">
        <v>102</v>
      </c>
      <c r="J26">
        <v>3.6388735765713102E-2</v>
      </c>
      <c r="K26" s="1" t="s">
        <v>103</v>
      </c>
      <c r="L26" s="1" t="s">
        <v>104</v>
      </c>
      <c r="M26">
        <f>1/Table1[[#This Row],[n_classes]]</f>
        <v>0.5</v>
      </c>
      <c r="N26">
        <f>(Table1[[#This Row],[balanced_accuracy_mean]]-Table1[[#This Row],[Baseline]])/Table1[[#This Row],[Baseline]]</f>
        <v>0.11667738806915406</v>
      </c>
    </row>
    <row r="27" spans="1:14" x14ac:dyDescent="0.2">
      <c r="A27" t="s">
        <v>94</v>
      </c>
      <c r="B27" t="s">
        <v>28</v>
      </c>
      <c r="C27" t="str">
        <f>_xlfn.CONCAT(Table1[[#This Row],[task_name]]," -  ",Table1[[#This Row],[model_name]])</f>
        <v>leinster_vs_rest -  knn_k5</v>
      </c>
      <c r="D27">
        <v>1618</v>
      </c>
      <c r="E27">
        <v>206</v>
      </c>
      <c r="F27">
        <v>2</v>
      </c>
      <c r="G27" t="s">
        <v>95</v>
      </c>
      <c r="H27" t="s">
        <v>96</v>
      </c>
      <c r="I27" s="1" t="s">
        <v>105</v>
      </c>
      <c r="J27" s="1" t="s">
        <v>106</v>
      </c>
      <c r="K27">
        <v>0.56140121808677201</v>
      </c>
      <c r="L27" s="1" t="s">
        <v>107</v>
      </c>
      <c r="M27">
        <f>1/Table1[[#This Row],[n_classes]]</f>
        <v>0.5</v>
      </c>
      <c r="N27">
        <f>(Table1[[#This Row],[balanced_accuracy_mean]]-Table1[[#This Row],[Baseline]])/Table1[[#This Row],[Baseline]]</f>
        <v>0.12280243617354403</v>
      </c>
    </row>
    <row r="28" spans="1:14" x14ac:dyDescent="0.2">
      <c r="A28" t="s">
        <v>94</v>
      </c>
      <c r="B28" t="s">
        <v>32</v>
      </c>
      <c r="C28" t="str">
        <f>_xlfn.CONCAT(Table1[[#This Row],[task_name]]," -  ",Table1[[#This Row],[model_name]])</f>
        <v>leinster_vs_rest -  knn_k7</v>
      </c>
      <c r="D28">
        <v>1618</v>
      </c>
      <c r="E28">
        <v>206</v>
      </c>
      <c r="F28">
        <v>2</v>
      </c>
      <c r="G28" t="s">
        <v>95</v>
      </c>
      <c r="H28" t="s">
        <v>96</v>
      </c>
      <c r="I28" s="1" t="s">
        <v>108</v>
      </c>
      <c r="J28">
        <v>6.2653223538502403E-2</v>
      </c>
      <c r="K28" s="1" t="s">
        <v>109</v>
      </c>
      <c r="L28" s="1" t="s">
        <v>110</v>
      </c>
      <c r="M28">
        <f>1/Table1[[#This Row],[n_classes]]</f>
        <v>0.5</v>
      </c>
      <c r="N28">
        <f>(Table1[[#This Row],[balanced_accuracy_mean]]-Table1[[#This Row],[Baseline]])/Table1[[#This Row],[Baseline]]</f>
        <v>0.15241999931478589</v>
      </c>
    </row>
    <row r="29" spans="1:14" x14ac:dyDescent="0.2">
      <c r="A29" t="s">
        <v>94</v>
      </c>
      <c r="B29" t="s">
        <v>36</v>
      </c>
      <c r="C29" t="str">
        <f>_xlfn.CONCAT(Table1[[#This Row],[task_name]]," -  ",Table1[[#This Row],[model_name]])</f>
        <v>leinster_vs_rest -  logreg</v>
      </c>
      <c r="D29">
        <v>1618</v>
      </c>
      <c r="E29">
        <v>206</v>
      </c>
      <c r="F29">
        <v>2</v>
      </c>
      <c r="G29" t="s">
        <v>95</v>
      </c>
      <c r="H29" t="s">
        <v>96</v>
      </c>
      <c r="I29" s="1" t="s">
        <v>111</v>
      </c>
      <c r="J29" s="1" t="s">
        <v>112</v>
      </c>
      <c r="K29" s="1" t="s">
        <v>113</v>
      </c>
      <c r="L29" s="1" t="s">
        <v>114</v>
      </c>
      <c r="M29">
        <f>1/Table1[[#This Row],[n_classes]]</f>
        <v>0.5</v>
      </c>
      <c r="N29">
        <f>(Table1[[#This Row],[balanced_accuracy_mean]]-Table1[[#This Row],[Baseline]])/Table1[[#This Row],[Baseline]]</f>
        <v>0.11673365924803192</v>
      </c>
    </row>
    <row r="30" spans="1:14" x14ac:dyDescent="0.2">
      <c r="A30" t="s">
        <v>94</v>
      </c>
      <c r="B30" t="s">
        <v>40</v>
      </c>
      <c r="C30" t="str">
        <f>_xlfn.CONCAT(Table1[[#This Row],[task_name]]," -  ",Table1[[#This Row],[model_name]])</f>
        <v>leinster_vs_rest -  logreg_weighted</v>
      </c>
      <c r="D30">
        <v>1618</v>
      </c>
      <c r="E30">
        <v>206</v>
      </c>
      <c r="F30">
        <v>2</v>
      </c>
      <c r="G30" t="s">
        <v>95</v>
      </c>
      <c r="H30" t="s">
        <v>96</v>
      </c>
      <c r="I30" s="1" t="s">
        <v>115</v>
      </c>
      <c r="J30" s="1" t="s">
        <v>116</v>
      </c>
      <c r="K30" s="1" t="s">
        <v>117</v>
      </c>
      <c r="L30" s="1" t="s">
        <v>118</v>
      </c>
      <c r="M30">
        <f>1/Table1[[#This Row],[n_classes]]</f>
        <v>0.5</v>
      </c>
      <c r="N30">
        <f>(Table1[[#This Row],[balanced_accuracy_mean]]-Table1[[#This Row],[Baseline]])/Table1[[#This Row],[Baseline]]</f>
        <v>0.23155444699673211</v>
      </c>
    </row>
    <row r="31" spans="1:14" x14ac:dyDescent="0.2">
      <c r="A31" t="s">
        <v>94</v>
      </c>
      <c r="B31" t="s">
        <v>43</v>
      </c>
      <c r="C31" t="str">
        <f>_xlfn.CONCAT(Table1[[#This Row],[task_name]]," -  ",Table1[[#This Row],[model_name]])</f>
        <v>leinster_vs_rest -  nb</v>
      </c>
      <c r="D31">
        <v>1618</v>
      </c>
      <c r="E31">
        <v>206</v>
      </c>
      <c r="F31">
        <v>2</v>
      </c>
      <c r="G31" t="s">
        <v>95</v>
      </c>
      <c r="H31" t="s">
        <v>96</v>
      </c>
      <c r="I31" s="1" t="s">
        <v>119</v>
      </c>
      <c r="J31" s="1" t="s">
        <v>120</v>
      </c>
      <c r="K31" s="1" t="s">
        <v>121</v>
      </c>
      <c r="L31" s="1" t="s">
        <v>122</v>
      </c>
      <c r="M31">
        <f>1/Table1[[#This Row],[n_classes]]</f>
        <v>0.5</v>
      </c>
      <c r="N31">
        <f>(Table1[[#This Row],[balanced_accuracy_mean]]-Table1[[#This Row],[Baseline]])/Table1[[#This Row],[Baseline]]</f>
        <v>0.20046281301714597</v>
      </c>
    </row>
    <row r="32" spans="1:14" x14ac:dyDescent="0.2">
      <c r="A32" t="s">
        <v>94</v>
      </c>
      <c r="B32" t="s">
        <v>48</v>
      </c>
      <c r="C32" t="str">
        <f>_xlfn.CONCAT(Table1[[#This Row],[task_name]]," -  ",Table1[[#This Row],[model_name]])</f>
        <v>leinster_vs_rest -  rf</v>
      </c>
      <c r="D32">
        <v>1618</v>
      </c>
      <c r="E32">
        <v>206</v>
      </c>
      <c r="F32">
        <v>2</v>
      </c>
      <c r="G32" t="s">
        <v>95</v>
      </c>
      <c r="H32" t="s">
        <v>96</v>
      </c>
      <c r="I32" s="1" t="s">
        <v>123</v>
      </c>
      <c r="J32" s="1" t="s">
        <v>124</v>
      </c>
      <c r="K32" s="1" t="s">
        <v>125</v>
      </c>
      <c r="L32" s="1" t="s">
        <v>126</v>
      </c>
      <c r="M32">
        <f>1/Table1[[#This Row],[n_classes]]</f>
        <v>0.5</v>
      </c>
      <c r="N32">
        <f>(Table1[[#This Row],[balanced_accuracy_mean]]-Table1[[#This Row],[Baseline]])/Table1[[#This Row],[Baseline]]</f>
        <v>4.2649993068186065E-2</v>
      </c>
    </row>
    <row r="33" spans="1:14" x14ac:dyDescent="0.2">
      <c r="A33" t="s">
        <v>94</v>
      </c>
      <c r="B33" t="s">
        <v>52</v>
      </c>
      <c r="C33" t="str">
        <f>_xlfn.CONCAT(Table1[[#This Row],[task_name]]," -  ",Table1[[#This Row],[model_name]])</f>
        <v>leinster_vs_rest -  svm_linear</v>
      </c>
      <c r="D33">
        <v>1618</v>
      </c>
      <c r="E33">
        <v>206</v>
      </c>
      <c r="F33">
        <v>2</v>
      </c>
      <c r="G33" t="s">
        <v>95</v>
      </c>
      <c r="H33" t="s">
        <v>96</v>
      </c>
      <c r="I33" s="1" t="s">
        <v>127</v>
      </c>
      <c r="J33" s="1" t="s">
        <v>128</v>
      </c>
      <c r="K33" s="1" t="s">
        <v>129</v>
      </c>
      <c r="L33" s="1" t="s">
        <v>130</v>
      </c>
      <c r="M33">
        <f>1/Table1[[#This Row],[n_classes]]</f>
        <v>0.5</v>
      </c>
      <c r="N33">
        <f>(Table1[[#This Row],[balanced_accuracy_mean]]-Table1[[#This Row],[Baseline]])/Table1[[#This Row],[Baseline]]</f>
        <v>0.10958272779569</v>
      </c>
    </row>
    <row r="34" spans="1:14" x14ac:dyDescent="0.2">
      <c r="A34" t="s">
        <v>94</v>
      </c>
      <c r="B34" t="s">
        <v>56</v>
      </c>
      <c r="C34" t="str">
        <f>_xlfn.CONCAT(Table1[[#This Row],[task_name]]," -  ",Table1[[#This Row],[model_name]])</f>
        <v>leinster_vs_rest -  svm_rbf</v>
      </c>
      <c r="D34">
        <v>1618</v>
      </c>
      <c r="E34">
        <v>206</v>
      </c>
      <c r="F34">
        <v>2</v>
      </c>
      <c r="G34" t="s">
        <v>95</v>
      </c>
      <c r="H34" t="s">
        <v>96</v>
      </c>
      <c r="I34" s="1" t="s">
        <v>131</v>
      </c>
      <c r="J34">
        <v>1.26150420474926E-3</v>
      </c>
      <c r="K34">
        <v>0.5</v>
      </c>
      <c r="L34" s="1" t="s">
        <v>132</v>
      </c>
      <c r="M34">
        <f>1/Table1[[#This Row],[n_classes]]</f>
        <v>0.5</v>
      </c>
      <c r="N34">
        <f>(Table1[[#This Row],[balanced_accuracy_mean]]-Table1[[#This Row],[Baseline]])/Table1[[#This Row],[Baseline]]</f>
        <v>0</v>
      </c>
    </row>
    <row r="35" spans="1:14" x14ac:dyDescent="0.2">
      <c r="A35" t="s">
        <v>133</v>
      </c>
      <c r="B35" t="s">
        <v>12</v>
      </c>
      <c r="C35" t="str">
        <f>_xlfn.CONCAT(Table1[[#This Row],[task_name]]," -  ",Table1[[#This Row],[model_name]])</f>
        <v>province_4way -  knn_k1</v>
      </c>
      <c r="D35">
        <v>1618</v>
      </c>
      <c r="E35">
        <v>206</v>
      </c>
      <c r="F35">
        <v>4</v>
      </c>
      <c r="G35" t="s">
        <v>134</v>
      </c>
      <c r="H35" t="s">
        <v>14</v>
      </c>
      <c r="I35" s="1" t="s">
        <v>135</v>
      </c>
      <c r="J35">
        <v>5.2316427275495798E-2</v>
      </c>
      <c r="K35" s="1" t="s">
        <v>136</v>
      </c>
      <c r="L35" s="1" t="s">
        <v>137</v>
      </c>
      <c r="M35">
        <f>1/Table1[[#This Row],[n_classes]]</f>
        <v>0.25</v>
      </c>
      <c r="N35">
        <f>(Table1[[#This Row],[balanced_accuracy_mean]]-Table1[[#This Row],[Baseline]])/Table1[[#This Row],[Baseline]]</f>
        <v>0.31616788493118397</v>
      </c>
    </row>
    <row r="36" spans="1:14" x14ac:dyDescent="0.2">
      <c r="A36" t="s">
        <v>133</v>
      </c>
      <c r="B36" t="s">
        <v>19</v>
      </c>
      <c r="C36" t="str">
        <f>_xlfn.CONCAT(Table1[[#This Row],[task_name]]," -  ",Table1[[#This Row],[model_name]])</f>
        <v>province_4way -  knn_k11</v>
      </c>
      <c r="D36">
        <v>1618</v>
      </c>
      <c r="E36">
        <v>206</v>
      </c>
      <c r="F36">
        <v>4</v>
      </c>
      <c r="G36" t="s">
        <v>134</v>
      </c>
      <c r="H36" t="s">
        <v>14</v>
      </c>
      <c r="I36" s="1" t="s">
        <v>138</v>
      </c>
      <c r="J36" s="1" t="s">
        <v>139</v>
      </c>
      <c r="K36" s="1" t="s">
        <v>140</v>
      </c>
      <c r="L36" s="1" t="s">
        <v>141</v>
      </c>
      <c r="M36">
        <f>1/Table1[[#This Row],[n_classes]]</f>
        <v>0.25</v>
      </c>
      <c r="N36">
        <f>(Table1[[#This Row],[balanced_accuracy_mean]]-Table1[[#This Row],[Baseline]])/Table1[[#This Row],[Baseline]]</f>
        <v>0.39057150876675206</v>
      </c>
    </row>
    <row r="37" spans="1:14" x14ac:dyDescent="0.2">
      <c r="A37" t="s">
        <v>133</v>
      </c>
      <c r="B37" t="s">
        <v>24</v>
      </c>
      <c r="C37" t="str">
        <f>_xlfn.CONCAT(Table1[[#This Row],[task_name]]," -  ",Table1[[#This Row],[model_name]])</f>
        <v>province_4way -  knn_k3</v>
      </c>
      <c r="D37">
        <v>1618</v>
      </c>
      <c r="E37">
        <v>206</v>
      </c>
      <c r="F37">
        <v>4</v>
      </c>
      <c r="G37" t="s">
        <v>134</v>
      </c>
      <c r="H37" t="s">
        <v>14</v>
      </c>
      <c r="I37" s="1" t="s">
        <v>142</v>
      </c>
      <c r="J37">
        <v>4.3625604706282503E-2</v>
      </c>
      <c r="K37" s="1" t="s">
        <v>143</v>
      </c>
      <c r="L37" s="1" t="s">
        <v>144</v>
      </c>
      <c r="M37">
        <f>1/Table1[[#This Row],[n_classes]]</f>
        <v>0.25</v>
      </c>
      <c r="N37">
        <f>(Table1[[#This Row],[balanced_accuracy_mean]]-Table1[[#This Row],[Baseline]])/Table1[[#This Row],[Baseline]]</f>
        <v>0.32424562992432793</v>
      </c>
    </row>
    <row r="38" spans="1:14" x14ac:dyDescent="0.2">
      <c r="A38" t="s">
        <v>133</v>
      </c>
      <c r="B38" t="s">
        <v>28</v>
      </c>
      <c r="C38" t="str">
        <f>_xlfn.CONCAT(Table1[[#This Row],[task_name]]," -  ",Table1[[#This Row],[model_name]])</f>
        <v>province_4way -  knn_k5</v>
      </c>
      <c r="D38">
        <v>1618</v>
      </c>
      <c r="E38">
        <v>206</v>
      </c>
      <c r="F38">
        <v>4</v>
      </c>
      <c r="G38" t="s">
        <v>134</v>
      </c>
      <c r="H38" t="s">
        <v>14</v>
      </c>
      <c r="I38" s="1" t="s">
        <v>145</v>
      </c>
      <c r="J38" s="1" t="s">
        <v>146</v>
      </c>
      <c r="K38" s="1" t="s">
        <v>147</v>
      </c>
      <c r="L38" s="1" t="s">
        <v>148</v>
      </c>
      <c r="M38">
        <f>1/Table1[[#This Row],[n_classes]]</f>
        <v>0.25</v>
      </c>
      <c r="N38">
        <f>(Table1[[#This Row],[balanced_accuracy_mean]]-Table1[[#This Row],[Baseline]])/Table1[[#This Row],[Baseline]]</f>
        <v>0.33883621919537998</v>
      </c>
    </row>
    <row r="39" spans="1:14" x14ac:dyDescent="0.2">
      <c r="A39" t="s">
        <v>133</v>
      </c>
      <c r="B39" t="s">
        <v>32</v>
      </c>
      <c r="C39" t="str">
        <f>_xlfn.CONCAT(Table1[[#This Row],[task_name]]," -  ",Table1[[#This Row],[model_name]])</f>
        <v>province_4way -  knn_k7</v>
      </c>
      <c r="D39">
        <v>1618</v>
      </c>
      <c r="E39">
        <v>206</v>
      </c>
      <c r="F39">
        <v>4</v>
      </c>
      <c r="G39" t="s">
        <v>134</v>
      </c>
      <c r="H39" t="s">
        <v>14</v>
      </c>
      <c r="I39" s="1" t="s">
        <v>149</v>
      </c>
      <c r="J39">
        <v>3.9111077199206597E-2</v>
      </c>
      <c r="K39" s="1" t="s">
        <v>150</v>
      </c>
      <c r="L39" s="1" t="s">
        <v>151</v>
      </c>
      <c r="M39">
        <f>1/Table1[[#This Row],[n_classes]]</f>
        <v>0.25</v>
      </c>
      <c r="N39">
        <f>(Table1[[#This Row],[balanced_accuracy_mean]]-Table1[[#This Row],[Baseline]])/Table1[[#This Row],[Baseline]]</f>
        <v>0.38970175708613208</v>
      </c>
    </row>
    <row r="40" spans="1:14" x14ac:dyDescent="0.2">
      <c r="A40" t="s">
        <v>133</v>
      </c>
      <c r="B40" t="s">
        <v>36</v>
      </c>
      <c r="C40" t="str">
        <f>_xlfn.CONCAT(Table1[[#This Row],[task_name]]," -  ",Table1[[#This Row],[model_name]])</f>
        <v>province_4way -  logreg</v>
      </c>
      <c r="D40">
        <v>1618</v>
      </c>
      <c r="E40">
        <v>206</v>
      </c>
      <c r="F40">
        <v>4</v>
      </c>
      <c r="G40" t="s">
        <v>134</v>
      </c>
      <c r="H40" t="s">
        <v>14</v>
      </c>
      <c r="I40" s="1" t="s">
        <v>152</v>
      </c>
      <c r="J40">
        <v>5.6634514814821603E-2</v>
      </c>
      <c r="K40" s="1" t="s">
        <v>153</v>
      </c>
      <c r="L40" s="1" t="s">
        <v>154</v>
      </c>
      <c r="M40">
        <f>1/Table1[[#This Row],[n_classes]]</f>
        <v>0.25</v>
      </c>
      <c r="N40">
        <f>(Table1[[#This Row],[balanced_accuracy_mean]]-Table1[[#This Row],[Baseline]])/Table1[[#This Row],[Baseline]]</f>
        <v>0.57531633590387599</v>
      </c>
    </row>
    <row r="41" spans="1:14" x14ac:dyDescent="0.2">
      <c r="A41" t="s">
        <v>133</v>
      </c>
      <c r="B41" t="s">
        <v>40</v>
      </c>
      <c r="C41" t="str">
        <f>_xlfn.CONCAT(Table1[[#This Row],[task_name]]," -  ",Table1[[#This Row],[model_name]])</f>
        <v>province_4way -  logreg_weighted</v>
      </c>
      <c r="D41">
        <v>1618</v>
      </c>
      <c r="E41">
        <v>206</v>
      </c>
      <c r="F41">
        <v>4</v>
      </c>
      <c r="G41" t="s">
        <v>134</v>
      </c>
      <c r="H41" t="s">
        <v>14</v>
      </c>
      <c r="I41" s="1" t="s">
        <v>155</v>
      </c>
      <c r="J41">
        <v>5.16038299962348E-2</v>
      </c>
      <c r="K41" s="1" t="s">
        <v>156</v>
      </c>
      <c r="L41" s="1" t="s">
        <v>157</v>
      </c>
      <c r="M41">
        <f>1/Table1[[#This Row],[n_classes]]</f>
        <v>0.25</v>
      </c>
      <c r="N41">
        <f>(Table1[[#This Row],[balanced_accuracy_mean]]-Table1[[#This Row],[Baseline]])/Table1[[#This Row],[Baseline]]</f>
        <v>0.56341987776622404</v>
      </c>
    </row>
    <row r="42" spans="1:14" x14ac:dyDescent="0.2">
      <c r="A42" t="s">
        <v>133</v>
      </c>
      <c r="B42" t="s">
        <v>43</v>
      </c>
      <c r="C42" t="str">
        <f>_xlfn.CONCAT(Table1[[#This Row],[task_name]]," -  ",Table1[[#This Row],[model_name]])</f>
        <v>province_4way -  nb</v>
      </c>
      <c r="D42">
        <v>1618</v>
      </c>
      <c r="E42">
        <v>206</v>
      </c>
      <c r="F42">
        <v>4</v>
      </c>
      <c r="G42" t="s">
        <v>134</v>
      </c>
      <c r="H42" t="s">
        <v>14</v>
      </c>
      <c r="I42" s="1" t="s">
        <v>158</v>
      </c>
      <c r="J42">
        <v>6.1097557755799198E-2</v>
      </c>
      <c r="K42" s="1" t="s">
        <v>159</v>
      </c>
      <c r="L42" s="1" t="s">
        <v>160</v>
      </c>
      <c r="M42">
        <f>1/Table1[[#This Row],[n_classes]]</f>
        <v>0.25</v>
      </c>
      <c r="N42">
        <f>(Table1[[#This Row],[balanced_accuracy_mean]]-Table1[[#This Row],[Baseline]])/Table1[[#This Row],[Baseline]]</f>
        <v>0.39635085336338793</v>
      </c>
    </row>
    <row r="43" spans="1:14" x14ac:dyDescent="0.2">
      <c r="A43" t="s">
        <v>133</v>
      </c>
      <c r="B43" t="s">
        <v>48</v>
      </c>
      <c r="C43" t="str">
        <f>_xlfn.CONCAT(Table1[[#This Row],[task_name]]," -  ",Table1[[#This Row],[model_name]])</f>
        <v>province_4way -  rf</v>
      </c>
      <c r="D43">
        <v>1618</v>
      </c>
      <c r="E43">
        <v>206</v>
      </c>
      <c r="F43">
        <v>4</v>
      </c>
      <c r="G43" t="s">
        <v>134</v>
      </c>
      <c r="H43" t="s">
        <v>14</v>
      </c>
      <c r="I43" s="1" t="s">
        <v>161</v>
      </c>
      <c r="J43">
        <v>3.8202846318881503E-2</v>
      </c>
      <c r="K43" s="1" t="s">
        <v>162</v>
      </c>
      <c r="L43" s="1" t="s">
        <v>163</v>
      </c>
      <c r="M43">
        <f>1/Table1[[#This Row],[n_classes]]</f>
        <v>0.25</v>
      </c>
      <c r="N43">
        <f>(Table1[[#This Row],[balanced_accuracy_mean]]-Table1[[#This Row],[Baseline]])/Table1[[#This Row],[Baseline]]</f>
        <v>0.50681644710776008</v>
      </c>
    </row>
    <row r="44" spans="1:14" x14ac:dyDescent="0.2">
      <c r="A44" t="s">
        <v>133</v>
      </c>
      <c r="B44" t="s">
        <v>52</v>
      </c>
      <c r="C44" t="str">
        <f>_xlfn.CONCAT(Table1[[#This Row],[task_name]]," -  ",Table1[[#This Row],[model_name]])</f>
        <v>province_4way -  svm_linear</v>
      </c>
      <c r="D44">
        <v>1618</v>
      </c>
      <c r="E44">
        <v>206</v>
      </c>
      <c r="F44">
        <v>4</v>
      </c>
      <c r="G44" t="s">
        <v>134</v>
      </c>
      <c r="H44" t="s">
        <v>14</v>
      </c>
      <c r="I44" s="1" t="s">
        <v>164</v>
      </c>
      <c r="J44" s="1" t="s">
        <v>165</v>
      </c>
      <c r="K44" s="1" t="s">
        <v>166</v>
      </c>
      <c r="L44">
        <v>0.38084229333062602</v>
      </c>
      <c r="M44">
        <f>1/Table1[[#This Row],[n_classes]]</f>
        <v>0.25</v>
      </c>
      <c r="N44">
        <f>(Table1[[#This Row],[balanced_accuracy_mean]]-Table1[[#This Row],[Baseline]])/Table1[[#This Row],[Baseline]]</f>
        <v>0.57550763618561196</v>
      </c>
    </row>
    <row r="45" spans="1:14" x14ac:dyDescent="0.2">
      <c r="A45" t="s">
        <v>133</v>
      </c>
      <c r="B45" t="s">
        <v>56</v>
      </c>
      <c r="C45" t="str">
        <f>_xlfn.CONCAT(Table1[[#This Row],[task_name]]," -  ",Table1[[#This Row],[model_name]])</f>
        <v>province_4way -  svm_rbf</v>
      </c>
      <c r="D45">
        <v>1618</v>
      </c>
      <c r="E45">
        <v>206</v>
      </c>
      <c r="F45">
        <v>4</v>
      </c>
      <c r="G45" t="s">
        <v>134</v>
      </c>
      <c r="H45" t="s">
        <v>14</v>
      </c>
      <c r="I45" s="1" t="s">
        <v>167</v>
      </c>
      <c r="J45" s="1" t="s">
        <v>168</v>
      </c>
      <c r="K45" s="1" t="s">
        <v>169</v>
      </c>
      <c r="L45" s="1" t="s">
        <v>170</v>
      </c>
      <c r="M45">
        <f>1/Table1[[#This Row],[n_classes]]</f>
        <v>0.25</v>
      </c>
      <c r="N45">
        <f>(Table1[[#This Row],[balanced_accuracy_mean]]-Table1[[#This Row],[Baseline]])/Table1[[#This Row],[Baseline]]</f>
        <v>0.51478806445008796</v>
      </c>
    </row>
    <row r="46" spans="1:14" x14ac:dyDescent="0.2">
      <c r="A46" t="s">
        <v>171</v>
      </c>
      <c r="B46" t="s">
        <v>12</v>
      </c>
      <c r="C46" t="str">
        <f>_xlfn.CONCAT(Table1[[#This Row],[task_name]]," -  ",Table1[[#This Row],[model_name]])</f>
        <v>ulster_leinster_rest -  knn_k1</v>
      </c>
      <c r="D46">
        <v>1618</v>
      </c>
      <c r="E46">
        <v>206</v>
      </c>
      <c r="F46">
        <v>3</v>
      </c>
      <c r="G46" t="s">
        <v>172</v>
      </c>
      <c r="H46" t="s">
        <v>173</v>
      </c>
      <c r="I46" s="1" t="s">
        <v>174</v>
      </c>
      <c r="J46">
        <v>3.7223003939817298E-2</v>
      </c>
      <c r="K46" s="1" t="s">
        <v>175</v>
      </c>
      <c r="L46" s="1" t="s">
        <v>176</v>
      </c>
      <c r="M46">
        <f>1/Table1[[#This Row],[n_classes]]</f>
        <v>0.33333333333333331</v>
      </c>
      <c r="N46">
        <f>(Table1[[#This Row],[balanced_accuracy_mean]]-Table1[[#This Row],[Baseline]])/Table1[[#This Row],[Baseline]]</f>
        <v>0.26479191938374402</v>
      </c>
    </row>
    <row r="47" spans="1:14" x14ac:dyDescent="0.2">
      <c r="A47" t="s">
        <v>171</v>
      </c>
      <c r="B47" t="s">
        <v>19</v>
      </c>
      <c r="C47" t="str">
        <f>_xlfn.CONCAT(Table1[[#This Row],[task_name]]," -  ",Table1[[#This Row],[model_name]])</f>
        <v>ulster_leinster_rest -  knn_k11</v>
      </c>
      <c r="D47">
        <v>1618</v>
      </c>
      <c r="E47">
        <v>206</v>
      </c>
      <c r="F47">
        <v>3</v>
      </c>
      <c r="G47" t="s">
        <v>172</v>
      </c>
      <c r="H47" t="s">
        <v>173</v>
      </c>
      <c r="I47" s="1" t="s">
        <v>177</v>
      </c>
      <c r="J47">
        <v>5.234642445051E-2</v>
      </c>
      <c r="K47" s="1" t="s">
        <v>178</v>
      </c>
      <c r="L47" s="1" t="s">
        <v>179</v>
      </c>
      <c r="M47">
        <f>1/Table1[[#This Row],[n_classes]]</f>
        <v>0.33333333333333331</v>
      </c>
      <c r="N47">
        <f>(Table1[[#This Row],[balanced_accuracy_mean]]-Table1[[#This Row],[Baseline]])/Table1[[#This Row],[Baseline]]</f>
        <v>0.37577938521708504</v>
      </c>
    </row>
    <row r="48" spans="1:14" x14ac:dyDescent="0.2">
      <c r="A48" t="s">
        <v>171</v>
      </c>
      <c r="B48" t="s">
        <v>24</v>
      </c>
      <c r="C48" t="str">
        <f>_xlfn.CONCAT(Table1[[#This Row],[task_name]]," -  ",Table1[[#This Row],[model_name]])</f>
        <v>ulster_leinster_rest -  knn_k3</v>
      </c>
      <c r="D48">
        <v>1618</v>
      </c>
      <c r="E48">
        <v>206</v>
      </c>
      <c r="F48">
        <v>3</v>
      </c>
      <c r="G48" t="s">
        <v>172</v>
      </c>
      <c r="H48" t="s">
        <v>173</v>
      </c>
      <c r="I48" s="1" t="s">
        <v>180</v>
      </c>
      <c r="J48">
        <v>4.4914728151534598E-2</v>
      </c>
      <c r="K48">
        <v>0.44857915355944</v>
      </c>
      <c r="L48" s="1" t="s">
        <v>181</v>
      </c>
      <c r="M48">
        <f>1/Table1[[#This Row],[n_classes]]</f>
        <v>0.33333333333333331</v>
      </c>
      <c r="N48">
        <f>(Table1[[#This Row],[balanced_accuracy_mean]]-Table1[[#This Row],[Baseline]])/Table1[[#This Row],[Baseline]]</f>
        <v>0.34573746067832006</v>
      </c>
    </row>
    <row r="49" spans="1:14" x14ac:dyDescent="0.2">
      <c r="A49" t="s">
        <v>171</v>
      </c>
      <c r="B49" t="s">
        <v>28</v>
      </c>
      <c r="C49" t="str">
        <f>_xlfn.CONCAT(Table1[[#This Row],[task_name]]," -  ",Table1[[#This Row],[model_name]])</f>
        <v>ulster_leinster_rest -  knn_k5</v>
      </c>
      <c r="D49">
        <v>1618</v>
      </c>
      <c r="E49">
        <v>206</v>
      </c>
      <c r="F49">
        <v>3</v>
      </c>
      <c r="G49" t="s">
        <v>172</v>
      </c>
      <c r="H49" t="s">
        <v>173</v>
      </c>
      <c r="I49" s="1" t="s">
        <v>182</v>
      </c>
      <c r="J49" s="1" t="s">
        <v>183</v>
      </c>
      <c r="K49" s="1" t="s">
        <v>184</v>
      </c>
      <c r="L49" s="1" t="s">
        <v>185</v>
      </c>
      <c r="M49">
        <f>1/Table1[[#This Row],[n_classes]]</f>
        <v>0.33333333333333331</v>
      </c>
      <c r="N49">
        <f>(Table1[[#This Row],[balanced_accuracy_mean]]-Table1[[#This Row],[Baseline]])/Table1[[#This Row],[Baseline]]</f>
        <v>0.32304989732704409</v>
      </c>
    </row>
    <row r="50" spans="1:14" x14ac:dyDescent="0.2">
      <c r="A50" t="s">
        <v>171</v>
      </c>
      <c r="B50" t="s">
        <v>32</v>
      </c>
      <c r="C50" t="str">
        <f>_xlfn.CONCAT(Table1[[#This Row],[task_name]]," -  ",Table1[[#This Row],[model_name]])</f>
        <v>ulster_leinster_rest -  knn_k7</v>
      </c>
      <c r="D50">
        <v>1618</v>
      </c>
      <c r="E50">
        <v>206</v>
      </c>
      <c r="F50">
        <v>3</v>
      </c>
      <c r="G50" t="s">
        <v>172</v>
      </c>
      <c r="H50" t="s">
        <v>173</v>
      </c>
      <c r="I50" s="1" t="s">
        <v>186</v>
      </c>
      <c r="J50" s="1" t="s">
        <v>187</v>
      </c>
      <c r="K50" s="1" t="s">
        <v>188</v>
      </c>
      <c r="L50" s="1" t="s">
        <v>189</v>
      </c>
      <c r="M50">
        <f>1/Table1[[#This Row],[n_classes]]</f>
        <v>0.33333333333333331</v>
      </c>
      <c r="N50">
        <f>(Table1[[#This Row],[balanced_accuracy_mean]]-Table1[[#This Row],[Baseline]])/Table1[[#This Row],[Baseline]]</f>
        <v>0.37090520264611704</v>
      </c>
    </row>
    <row r="51" spans="1:14" x14ac:dyDescent="0.2">
      <c r="A51" t="s">
        <v>171</v>
      </c>
      <c r="B51" t="s">
        <v>36</v>
      </c>
      <c r="C51" t="str">
        <f>_xlfn.CONCAT(Table1[[#This Row],[task_name]]," -  ",Table1[[#This Row],[model_name]])</f>
        <v>ulster_leinster_rest -  logreg</v>
      </c>
      <c r="D51">
        <v>1618</v>
      </c>
      <c r="E51">
        <v>206</v>
      </c>
      <c r="F51">
        <v>3</v>
      </c>
      <c r="G51" t="s">
        <v>172</v>
      </c>
      <c r="H51" t="s">
        <v>173</v>
      </c>
      <c r="I51" s="1" t="s">
        <v>190</v>
      </c>
      <c r="J51">
        <v>7.7499401740728793E-2</v>
      </c>
      <c r="K51">
        <v>0.50573615943149597</v>
      </c>
      <c r="L51">
        <v>0.50061384362684902</v>
      </c>
      <c r="M51">
        <f>1/Table1[[#This Row],[n_classes]]</f>
        <v>0.33333333333333331</v>
      </c>
      <c r="N51">
        <f>(Table1[[#This Row],[balanced_accuracy_mean]]-Table1[[#This Row],[Baseline]])/Table1[[#This Row],[Baseline]]</f>
        <v>0.51720847829448802</v>
      </c>
    </row>
    <row r="52" spans="1:14" x14ac:dyDescent="0.2">
      <c r="A52" t="s">
        <v>171</v>
      </c>
      <c r="B52" t="s">
        <v>40</v>
      </c>
      <c r="C52" t="str">
        <f>_xlfn.CONCAT(Table1[[#This Row],[task_name]]," -  ",Table1[[#This Row],[model_name]])</f>
        <v>ulster_leinster_rest -  logreg_weighted</v>
      </c>
      <c r="D52">
        <v>1618</v>
      </c>
      <c r="E52">
        <v>206</v>
      </c>
      <c r="F52">
        <v>3</v>
      </c>
      <c r="G52" t="s">
        <v>172</v>
      </c>
      <c r="H52" t="s">
        <v>173</v>
      </c>
      <c r="I52" s="1" t="s">
        <v>191</v>
      </c>
      <c r="J52">
        <v>7.9760840817953496E-2</v>
      </c>
      <c r="K52" s="1" t="s">
        <v>192</v>
      </c>
      <c r="L52" s="1" t="s">
        <v>193</v>
      </c>
      <c r="M52">
        <f>1/Table1[[#This Row],[n_classes]]</f>
        <v>0.33333333333333331</v>
      </c>
      <c r="N52">
        <f>(Table1[[#This Row],[balanced_accuracy_mean]]-Table1[[#This Row],[Baseline]])/Table1[[#This Row],[Baseline]]</f>
        <v>0.51173098559036001</v>
      </c>
    </row>
    <row r="53" spans="1:14" x14ac:dyDescent="0.2">
      <c r="A53" t="s">
        <v>171</v>
      </c>
      <c r="B53" t="s">
        <v>43</v>
      </c>
      <c r="C53" t="str">
        <f>_xlfn.CONCAT(Table1[[#This Row],[task_name]]," -  ",Table1[[#This Row],[model_name]])</f>
        <v>ulster_leinster_rest -  nb</v>
      </c>
      <c r="D53">
        <v>1618</v>
      </c>
      <c r="E53">
        <v>206</v>
      </c>
      <c r="F53">
        <v>3</v>
      </c>
      <c r="G53" t="s">
        <v>172</v>
      </c>
      <c r="H53" t="s">
        <v>173</v>
      </c>
      <c r="I53">
        <v>0.47537744142491301</v>
      </c>
      <c r="J53">
        <v>7.5797393997189405E-2</v>
      </c>
      <c r="K53" s="1" t="s">
        <v>194</v>
      </c>
      <c r="L53" s="1" t="s">
        <v>195</v>
      </c>
      <c r="M53">
        <f>1/Table1[[#This Row],[n_classes]]</f>
        <v>0.33333333333333331</v>
      </c>
      <c r="N53">
        <f>(Table1[[#This Row],[balanced_accuracy_mean]]-Table1[[#This Row],[Baseline]])/Table1[[#This Row],[Baseline]]</f>
        <v>0.42749702458745004</v>
      </c>
    </row>
    <row r="54" spans="1:14" x14ac:dyDescent="0.2">
      <c r="A54" t="s">
        <v>171</v>
      </c>
      <c r="B54" t="s">
        <v>48</v>
      </c>
      <c r="C54" t="str">
        <f>_xlfn.CONCAT(Table1[[#This Row],[task_name]]," -  ",Table1[[#This Row],[model_name]])</f>
        <v>ulster_leinster_rest -  rf</v>
      </c>
      <c r="D54">
        <v>1618</v>
      </c>
      <c r="E54">
        <v>206</v>
      </c>
      <c r="F54">
        <v>3</v>
      </c>
      <c r="G54" t="s">
        <v>172</v>
      </c>
      <c r="H54" t="s">
        <v>173</v>
      </c>
      <c r="I54" s="1" t="s">
        <v>196</v>
      </c>
      <c r="J54">
        <v>8.9731496106241093E-2</v>
      </c>
      <c r="K54" s="1" t="s">
        <v>197</v>
      </c>
      <c r="L54">
        <v>0.50641568921743896</v>
      </c>
      <c r="M54">
        <f>1/Table1[[#This Row],[n_classes]]</f>
        <v>0.33333333333333331</v>
      </c>
      <c r="N54">
        <f>(Table1[[#This Row],[balanced_accuracy_mean]]-Table1[[#This Row],[Baseline]])/Table1[[#This Row],[Baseline]]</f>
        <v>0.49861477634000911</v>
      </c>
    </row>
    <row r="55" spans="1:14" x14ac:dyDescent="0.2">
      <c r="A55" t="s">
        <v>171</v>
      </c>
      <c r="B55" t="s">
        <v>52</v>
      </c>
      <c r="C55" t="str">
        <f>_xlfn.CONCAT(Table1[[#This Row],[task_name]]," -  ",Table1[[#This Row],[model_name]])</f>
        <v>ulster_leinster_rest -  svm_linear</v>
      </c>
      <c r="D55">
        <v>1618</v>
      </c>
      <c r="E55">
        <v>206</v>
      </c>
      <c r="F55">
        <v>3</v>
      </c>
      <c r="G55" t="s">
        <v>172</v>
      </c>
      <c r="H55" t="s">
        <v>173</v>
      </c>
      <c r="I55" s="1" t="s">
        <v>198</v>
      </c>
      <c r="J55">
        <v>7.4862845820457005E-2</v>
      </c>
      <c r="K55" s="1" t="s">
        <v>199</v>
      </c>
      <c r="L55" s="1" t="s">
        <v>200</v>
      </c>
      <c r="M55">
        <f>1/Table1[[#This Row],[n_classes]]</f>
        <v>0.33333333333333331</v>
      </c>
      <c r="N55">
        <f>(Table1[[#This Row],[balanced_accuracy_mean]]-Table1[[#This Row],[Baseline]])/Table1[[#This Row],[Baseline]]</f>
        <v>0.54308358996526696</v>
      </c>
    </row>
    <row r="56" spans="1:14" x14ac:dyDescent="0.2">
      <c r="A56" t="s">
        <v>171</v>
      </c>
      <c r="B56" t="s">
        <v>56</v>
      </c>
      <c r="C56" t="str">
        <f>_xlfn.CONCAT(Table1[[#This Row],[task_name]]," -  ",Table1[[#This Row],[model_name]])</f>
        <v>ulster_leinster_rest -  svm_rbf</v>
      </c>
      <c r="D56">
        <v>1618</v>
      </c>
      <c r="E56">
        <v>206</v>
      </c>
      <c r="F56">
        <v>3</v>
      </c>
      <c r="G56" t="s">
        <v>172</v>
      </c>
      <c r="H56" t="s">
        <v>173</v>
      </c>
      <c r="I56" s="1" t="s">
        <v>201</v>
      </c>
      <c r="J56">
        <v>8.1708265483153894E-2</v>
      </c>
      <c r="K56">
        <v>0.52408969936051997</v>
      </c>
      <c r="L56" s="1" t="s">
        <v>202</v>
      </c>
      <c r="M56">
        <f>1/Table1[[#This Row],[n_classes]]</f>
        <v>0.33333333333333331</v>
      </c>
      <c r="N56">
        <f>(Table1[[#This Row],[balanced_accuracy_mean]]-Table1[[#This Row],[Baseline]])/Table1[[#This Row],[Baseline]]</f>
        <v>0.57226909808156001</v>
      </c>
    </row>
    <row r="57" spans="1:14" x14ac:dyDescent="0.2">
      <c r="A57" t="s">
        <v>203</v>
      </c>
      <c r="B57" t="s">
        <v>12</v>
      </c>
      <c r="C57" t="str">
        <f>_xlfn.CONCAT(Table1[[#This Row],[task_name]]," -  ",Table1[[#This Row],[model_name]])</f>
        <v>ulster_vs_rest -  knn_k1</v>
      </c>
      <c r="D57">
        <v>1618</v>
      </c>
      <c r="E57">
        <v>206</v>
      </c>
      <c r="F57">
        <v>2</v>
      </c>
      <c r="G57" t="s">
        <v>204</v>
      </c>
      <c r="H57" t="s">
        <v>205</v>
      </c>
      <c r="I57" s="1" t="s">
        <v>206</v>
      </c>
      <c r="J57">
        <v>5.4241869541023002E-2</v>
      </c>
      <c r="K57">
        <v>0.63313510584315802</v>
      </c>
      <c r="L57" s="1" t="s">
        <v>207</v>
      </c>
      <c r="M57">
        <f>1/Table1[[#This Row],[n_classes]]</f>
        <v>0.5</v>
      </c>
      <c r="N57">
        <f>(Table1[[#This Row],[balanced_accuracy_mean]]-Table1[[#This Row],[Baseline]])/Table1[[#This Row],[Baseline]]</f>
        <v>0.26627021168631604</v>
      </c>
    </row>
    <row r="58" spans="1:14" x14ac:dyDescent="0.2">
      <c r="A58" t="s">
        <v>203</v>
      </c>
      <c r="B58" t="s">
        <v>19</v>
      </c>
      <c r="C58" t="str">
        <f>_xlfn.CONCAT(Table1[[#This Row],[task_name]]," -  ",Table1[[#This Row],[model_name]])</f>
        <v>ulster_vs_rest -  knn_k11</v>
      </c>
      <c r="D58">
        <v>1618</v>
      </c>
      <c r="E58">
        <v>206</v>
      </c>
      <c r="F58">
        <v>2</v>
      </c>
      <c r="G58" t="s">
        <v>204</v>
      </c>
      <c r="H58" t="s">
        <v>205</v>
      </c>
      <c r="I58" s="1" t="s">
        <v>208</v>
      </c>
      <c r="J58">
        <v>3.35011043503778E-2</v>
      </c>
      <c r="K58" s="1" t="s">
        <v>209</v>
      </c>
      <c r="L58" s="1" t="s">
        <v>210</v>
      </c>
      <c r="M58">
        <f>1/Table1[[#This Row],[n_classes]]</f>
        <v>0.5</v>
      </c>
      <c r="N58">
        <f>(Table1[[#This Row],[balanced_accuracy_mean]]-Table1[[#This Row],[Baseline]])/Table1[[#This Row],[Baseline]]</f>
        <v>0.31552014649417592</v>
      </c>
    </row>
    <row r="59" spans="1:14" x14ac:dyDescent="0.2">
      <c r="A59" t="s">
        <v>203</v>
      </c>
      <c r="B59" t="s">
        <v>24</v>
      </c>
      <c r="C59" t="str">
        <f>_xlfn.CONCAT(Table1[[#This Row],[task_name]]," -  ",Table1[[#This Row],[model_name]])</f>
        <v>ulster_vs_rest -  knn_k3</v>
      </c>
      <c r="D59">
        <v>1618</v>
      </c>
      <c r="E59">
        <v>206</v>
      </c>
      <c r="F59">
        <v>2</v>
      </c>
      <c r="G59" t="s">
        <v>204</v>
      </c>
      <c r="H59" t="s">
        <v>205</v>
      </c>
      <c r="I59" s="1" t="s">
        <v>211</v>
      </c>
      <c r="J59">
        <v>3.24558634416676E-2</v>
      </c>
      <c r="K59" s="1" t="s">
        <v>212</v>
      </c>
      <c r="L59" s="1" t="s">
        <v>213</v>
      </c>
      <c r="M59">
        <f>1/Table1[[#This Row],[n_classes]]</f>
        <v>0.5</v>
      </c>
      <c r="N59">
        <f>(Table1[[#This Row],[balanced_accuracy_mean]]-Table1[[#This Row],[Baseline]])/Table1[[#This Row],[Baseline]]</f>
        <v>0.28012759898035</v>
      </c>
    </row>
    <row r="60" spans="1:14" x14ac:dyDescent="0.2">
      <c r="A60" t="s">
        <v>203</v>
      </c>
      <c r="B60" t="s">
        <v>28</v>
      </c>
      <c r="C60" t="str">
        <f>_xlfn.CONCAT(Table1[[#This Row],[task_name]]," -  ",Table1[[#This Row],[model_name]])</f>
        <v>ulster_vs_rest -  knn_k5</v>
      </c>
      <c r="D60">
        <v>1618</v>
      </c>
      <c r="E60">
        <v>206</v>
      </c>
      <c r="F60">
        <v>2</v>
      </c>
      <c r="G60" t="s">
        <v>204</v>
      </c>
      <c r="H60" t="s">
        <v>205</v>
      </c>
      <c r="I60">
        <v>0.73977181515881196</v>
      </c>
      <c r="J60">
        <v>3.4437532839832502E-2</v>
      </c>
      <c r="K60" s="1" t="s">
        <v>214</v>
      </c>
      <c r="L60" s="1" t="s">
        <v>215</v>
      </c>
      <c r="M60">
        <f>1/Table1[[#This Row],[n_classes]]</f>
        <v>0.5</v>
      </c>
      <c r="N60">
        <f>(Table1[[#This Row],[balanced_accuracy_mean]]-Table1[[#This Row],[Baseline]])/Table1[[#This Row],[Baseline]]</f>
        <v>0.29607012517702991</v>
      </c>
    </row>
    <row r="61" spans="1:14" x14ac:dyDescent="0.2">
      <c r="A61" t="s">
        <v>203</v>
      </c>
      <c r="B61" t="s">
        <v>32</v>
      </c>
      <c r="C61" t="str">
        <f>_xlfn.CONCAT(Table1[[#This Row],[task_name]]," -  ",Table1[[#This Row],[model_name]])</f>
        <v>ulster_vs_rest -  knn_k7</v>
      </c>
      <c r="D61">
        <v>1618</v>
      </c>
      <c r="E61">
        <v>206</v>
      </c>
      <c r="F61">
        <v>2</v>
      </c>
      <c r="G61" t="s">
        <v>204</v>
      </c>
      <c r="H61" t="s">
        <v>205</v>
      </c>
      <c r="I61" s="1" t="s">
        <v>216</v>
      </c>
      <c r="J61">
        <v>3.9259061019360497E-2</v>
      </c>
      <c r="K61" s="1" t="s">
        <v>217</v>
      </c>
      <c r="L61" s="1" t="s">
        <v>218</v>
      </c>
      <c r="M61">
        <f>1/Table1[[#This Row],[n_classes]]</f>
        <v>0.5</v>
      </c>
      <c r="N61">
        <f>(Table1[[#This Row],[balanced_accuracy_mean]]-Table1[[#This Row],[Baseline]])/Table1[[#This Row],[Baseline]]</f>
        <v>0.32928620054305591</v>
      </c>
    </row>
    <row r="62" spans="1:14" x14ac:dyDescent="0.2">
      <c r="A62" t="s">
        <v>203</v>
      </c>
      <c r="B62" t="s">
        <v>36</v>
      </c>
      <c r="C62" t="str">
        <f>_xlfn.CONCAT(Table1[[#This Row],[task_name]]," -  ",Table1[[#This Row],[model_name]])</f>
        <v>ulster_vs_rest -  logreg</v>
      </c>
      <c r="D62">
        <v>1618</v>
      </c>
      <c r="E62">
        <v>206</v>
      </c>
      <c r="F62">
        <v>2</v>
      </c>
      <c r="G62" t="s">
        <v>204</v>
      </c>
      <c r="H62" t="s">
        <v>205</v>
      </c>
      <c r="I62" s="1" t="s">
        <v>219</v>
      </c>
      <c r="J62">
        <v>9.5556347309882703E-2</v>
      </c>
      <c r="K62" s="1" t="s">
        <v>220</v>
      </c>
      <c r="L62">
        <v>0.73156943084124704</v>
      </c>
      <c r="M62">
        <f>1/Table1[[#This Row],[n_classes]]</f>
        <v>0.5</v>
      </c>
      <c r="N62">
        <f>(Table1[[#This Row],[balanced_accuracy_mean]]-Table1[[#This Row],[Baseline]])/Table1[[#This Row],[Baseline]]</f>
        <v>0.45039364752731803</v>
      </c>
    </row>
    <row r="63" spans="1:14" x14ac:dyDescent="0.2">
      <c r="A63" t="s">
        <v>203</v>
      </c>
      <c r="B63" t="s">
        <v>40</v>
      </c>
      <c r="C63" t="str">
        <f>_xlfn.CONCAT(Table1[[#This Row],[task_name]]," -  ",Table1[[#This Row],[model_name]])</f>
        <v>ulster_vs_rest -  logreg_weighted</v>
      </c>
      <c r="D63">
        <v>1618</v>
      </c>
      <c r="E63">
        <v>206</v>
      </c>
      <c r="F63">
        <v>2</v>
      </c>
      <c r="G63" t="s">
        <v>204</v>
      </c>
      <c r="H63" t="s">
        <v>205</v>
      </c>
      <c r="I63" s="1" t="s">
        <v>221</v>
      </c>
      <c r="J63">
        <v>9.5566567137383596E-2</v>
      </c>
      <c r="K63">
        <v>0.74775796701111596</v>
      </c>
      <c r="L63" s="1" t="s">
        <v>222</v>
      </c>
      <c r="M63">
        <f>1/Table1[[#This Row],[n_classes]]</f>
        <v>0.5</v>
      </c>
      <c r="N63">
        <f>(Table1[[#This Row],[balanced_accuracy_mean]]-Table1[[#This Row],[Baseline]])/Table1[[#This Row],[Baseline]]</f>
        <v>0.49551593402223193</v>
      </c>
    </row>
    <row r="64" spans="1:14" x14ac:dyDescent="0.2">
      <c r="A64" t="s">
        <v>203</v>
      </c>
      <c r="B64" t="s">
        <v>43</v>
      </c>
      <c r="C64" t="str">
        <f>_xlfn.CONCAT(Table1[[#This Row],[task_name]]," -  ",Table1[[#This Row],[model_name]])</f>
        <v>ulster_vs_rest -  nb</v>
      </c>
      <c r="D64">
        <v>1618</v>
      </c>
      <c r="E64">
        <v>206</v>
      </c>
      <c r="F64">
        <v>2</v>
      </c>
      <c r="G64" t="s">
        <v>204</v>
      </c>
      <c r="H64" t="s">
        <v>205</v>
      </c>
      <c r="I64" s="1" t="s">
        <v>223</v>
      </c>
      <c r="J64">
        <v>7.9144833376234097E-2</v>
      </c>
      <c r="K64" s="1" t="s">
        <v>224</v>
      </c>
      <c r="L64" s="1" t="s">
        <v>225</v>
      </c>
      <c r="M64">
        <f>1/Table1[[#This Row],[n_classes]]</f>
        <v>0.5</v>
      </c>
      <c r="N64">
        <f>(Table1[[#This Row],[balanced_accuracy_mean]]-Table1[[#This Row],[Baseline]])/Table1[[#This Row],[Baseline]]</f>
        <v>0.4469668769283921</v>
      </c>
    </row>
    <row r="65" spans="1:14" x14ac:dyDescent="0.2">
      <c r="A65" t="s">
        <v>203</v>
      </c>
      <c r="B65" t="s">
        <v>48</v>
      </c>
      <c r="C65" t="str">
        <f>_xlfn.CONCAT(Table1[[#This Row],[task_name]]," -  ",Table1[[#This Row],[model_name]])</f>
        <v>ulster_vs_rest -  rf</v>
      </c>
      <c r="D65">
        <v>1618</v>
      </c>
      <c r="E65">
        <v>206</v>
      </c>
      <c r="F65">
        <v>2</v>
      </c>
      <c r="G65" t="s">
        <v>204</v>
      </c>
      <c r="H65" t="s">
        <v>205</v>
      </c>
      <c r="I65" s="1" t="s">
        <v>226</v>
      </c>
      <c r="J65">
        <v>7.2904907148988701E-2</v>
      </c>
      <c r="K65" s="1" t="s">
        <v>227</v>
      </c>
      <c r="L65" s="1" t="s">
        <v>228</v>
      </c>
      <c r="M65">
        <f>1/Table1[[#This Row],[n_classes]]</f>
        <v>0.5</v>
      </c>
      <c r="N65">
        <f>(Table1[[#This Row],[balanced_accuracy_mean]]-Table1[[#This Row],[Baseline]])/Table1[[#This Row],[Baseline]]</f>
        <v>0.43209225631119197</v>
      </c>
    </row>
    <row r="66" spans="1:14" x14ac:dyDescent="0.2">
      <c r="A66" t="s">
        <v>203</v>
      </c>
      <c r="B66" t="s">
        <v>52</v>
      </c>
      <c r="C66" t="str">
        <f>_xlfn.CONCAT(Table1[[#This Row],[task_name]]," -  ",Table1[[#This Row],[model_name]])</f>
        <v>ulster_vs_rest -  svm_linear</v>
      </c>
      <c r="D66">
        <v>1618</v>
      </c>
      <c r="E66">
        <v>206</v>
      </c>
      <c r="F66">
        <v>2</v>
      </c>
      <c r="G66" t="s">
        <v>204</v>
      </c>
      <c r="H66" t="s">
        <v>205</v>
      </c>
      <c r="I66" s="1" t="s">
        <v>229</v>
      </c>
      <c r="J66">
        <v>9.12798008220366E-2</v>
      </c>
      <c r="K66" s="1" t="s">
        <v>230</v>
      </c>
      <c r="L66" s="1" t="s">
        <v>231</v>
      </c>
      <c r="M66">
        <f>1/Table1[[#This Row],[n_classes]]</f>
        <v>0.5</v>
      </c>
      <c r="N66">
        <f>(Table1[[#This Row],[balanced_accuracy_mean]]-Table1[[#This Row],[Baseline]])/Table1[[#This Row],[Baseline]]</f>
        <v>0.46986496494320806</v>
      </c>
    </row>
    <row r="67" spans="1:14" x14ac:dyDescent="0.2">
      <c r="A67" t="s">
        <v>203</v>
      </c>
      <c r="B67" t="s">
        <v>56</v>
      </c>
      <c r="C67" t="str">
        <f>_xlfn.CONCAT(Table1[[#This Row],[task_name]]," -  ",Table1[[#This Row],[model_name]])</f>
        <v>ulster_vs_rest -  svm_rbf</v>
      </c>
      <c r="D67">
        <v>1618</v>
      </c>
      <c r="E67">
        <v>206</v>
      </c>
      <c r="F67">
        <v>2</v>
      </c>
      <c r="G67" t="s">
        <v>204</v>
      </c>
      <c r="H67" t="s">
        <v>205</v>
      </c>
      <c r="I67" s="1" t="s">
        <v>232</v>
      </c>
      <c r="J67">
        <v>7.6142775373888902E-2</v>
      </c>
      <c r="K67" s="1" t="s">
        <v>233</v>
      </c>
      <c r="L67" s="1" t="s">
        <v>234</v>
      </c>
      <c r="M67">
        <f>1/Table1[[#This Row],[n_classes]]</f>
        <v>0.5</v>
      </c>
      <c r="N67">
        <f>(Table1[[#This Row],[balanced_accuracy_mean]]-Table1[[#This Row],[Baseline]])/Table1[[#This Row],[Baseline]]</f>
        <v>0.3934921894610941</v>
      </c>
    </row>
  </sheetData>
  <dataConsolidate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31D4-68FC-2C4B-8485-97A605A57DE4}">
  <dimension ref="A1:E67"/>
  <sheetViews>
    <sheetView zoomScale="93" zoomScaleNormal="93" workbookViewId="0">
      <selection activeCell="A3" sqref="A3:D58"/>
    </sheetView>
  </sheetViews>
  <sheetFormatPr baseColWidth="10" defaultRowHeight="16" x14ac:dyDescent="0.2"/>
  <cols>
    <col min="1" max="1" width="17" bestFit="1" customWidth="1"/>
    <col min="2" max="2" width="14.1640625" bestFit="1" customWidth="1"/>
    <col min="3" max="3" width="32.1640625" bestFit="1" customWidth="1"/>
    <col min="4" max="4" width="24.83203125" style="13" customWidth="1"/>
    <col min="5" max="5" width="19.83203125" style="13" bestFit="1" customWidth="1"/>
    <col min="7" max="7" width="18.33203125" customWidth="1"/>
  </cols>
  <sheetData>
    <row r="1" spans="1:5" ht="17" thickBot="1" x14ac:dyDescent="0.25">
      <c r="A1" s="2" t="s">
        <v>0</v>
      </c>
      <c r="B1" s="3" t="s">
        <v>1</v>
      </c>
      <c r="C1" s="3" t="s">
        <v>235</v>
      </c>
      <c r="D1" s="14" t="s">
        <v>9</v>
      </c>
      <c r="E1" s="43" t="s">
        <v>10</v>
      </c>
    </row>
    <row r="2" spans="1:5" ht="17" hidden="1" thickTop="1" x14ac:dyDescent="0.2">
      <c r="A2" s="4" t="s">
        <v>11</v>
      </c>
      <c r="B2" s="5" t="s">
        <v>12</v>
      </c>
      <c r="C2" s="5" t="s">
        <v>236</v>
      </c>
      <c r="D2" s="11">
        <v>0.264187176232141</v>
      </c>
      <c r="E2" s="44">
        <v>0.25284943007307897</v>
      </c>
    </row>
    <row r="3" spans="1:5" ht="17" thickTop="1" x14ac:dyDescent="0.2">
      <c r="A3" s="6" t="s">
        <v>11</v>
      </c>
      <c r="B3" s="7" t="s">
        <v>19</v>
      </c>
      <c r="C3" s="7" t="s">
        <v>237</v>
      </c>
      <c r="D3" s="12">
        <v>0.27008932574240302</v>
      </c>
      <c r="E3" s="45">
        <v>0.24835835713765</v>
      </c>
    </row>
    <row r="4" spans="1:5" hidden="1" x14ac:dyDescent="0.2">
      <c r="A4" s="4" t="s">
        <v>11</v>
      </c>
      <c r="B4" s="5" t="s">
        <v>24</v>
      </c>
      <c r="C4" s="5" t="s">
        <v>238</v>
      </c>
      <c r="D4" s="11">
        <v>0.26366790328200101</v>
      </c>
      <c r="E4" s="44">
        <v>0.24902821906773001</v>
      </c>
    </row>
    <row r="5" spans="1:5" hidden="1" x14ac:dyDescent="0.2">
      <c r="A5" s="6" t="s">
        <v>11</v>
      </c>
      <c r="B5" s="7" t="s">
        <v>28</v>
      </c>
      <c r="C5" s="7" t="s">
        <v>239</v>
      </c>
      <c r="D5" s="12">
        <v>0.265377032150932</v>
      </c>
      <c r="E5" s="45">
        <v>0.24777355854046601</v>
      </c>
    </row>
    <row r="6" spans="1:5" hidden="1" x14ac:dyDescent="0.2">
      <c r="A6" s="4" t="s">
        <v>11</v>
      </c>
      <c r="B6" s="5" t="s">
        <v>32</v>
      </c>
      <c r="C6" s="5" t="s">
        <v>240</v>
      </c>
      <c r="D6" s="11">
        <v>0.26357770750863202</v>
      </c>
      <c r="E6" s="44">
        <v>0.24536388535089201</v>
      </c>
    </row>
    <row r="7" spans="1:5" hidden="1" x14ac:dyDescent="0.2">
      <c r="A7" s="6" t="s">
        <v>11</v>
      </c>
      <c r="B7" s="7" t="s">
        <v>36</v>
      </c>
      <c r="C7" s="7" t="s">
        <v>241</v>
      </c>
      <c r="D7" s="12">
        <v>0.27210886725816702</v>
      </c>
      <c r="E7" s="45">
        <v>0.25396344765783402</v>
      </c>
    </row>
    <row r="8" spans="1:5" hidden="1" x14ac:dyDescent="0.2">
      <c r="A8" s="4" t="s">
        <v>11</v>
      </c>
      <c r="B8" s="5" t="s">
        <v>40</v>
      </c>
      <c r="C8" s="5" t="s">
        <v>242</v>
      </c>
      <c r="D8" s="11">
        <v>0.27188960719951899</v>
      </c>
      <c r="E8" s="44">
        <v>0.25621425558732203</v>
      </c>
    </row>
    <row r="9" spans="1:5" hidden="1" x14ac:dyDescent="0.2">
      <c r="A9" s="6" t="s">
        <v>11</v>
      </c>
      <c r="B9" s="7" t="s">
        <v>43</v>
      </c>
      <c r="C9" s="7" t="s">
        <v>243</v>
      </c>
      <c r="D9" s="12">
        <v>0.24096703872637501</v>
      </c>
      <c r="E9" s="45">
        <v>0.23062354425393</v>
      </c>
    </row>
    <row r="10" spans="1:5" hidden="1" x14ac:dyDescent="0.2">
      <c r="A10" s="4" t="s">
        <v>11</v>
      </c>
      <c r="B10" s="5" t="s">
        <v>48</v>
      </c>
      <c r="C10" s="5" t="s">
        <v>244</v>
      </c>
      <c r="D10" s="11">
        <v>0.24748213816978401</v>
      </c>
      <c r="E10" s="44">
        <v>0.213785797551652</v>
      </c>
    </row>
    <row r="11" spans="1:5" hidden="1" x14ac:dyDescent="0.2">
      <c r="A11" s="6" t="s">
        <v>11</v>
      </c>
      <c r="B11" s="7" t="s">
        <v>52</v>
      </c>
      <c r="C11" s="7" t="s">
        <v>245</v>
      </c>
      <c r="D11" s="12">
        <v>0.26125610107875902</v>
      </c>
      <c r="E11" s="45">
        <v>0.23699439691197799</v>
      </c>
    </row>
    <row r="12" spans="1:5" hidden="1" x14ac:dyDescent="0.2">
      <c r="A12" s="4" t="s">
        <v>11</v>
      </c>
      <c r="B12" s="5" t="s">
        <v>56</v>
      </c>
      <c r="C12" s="5" t="s">
        <v>246</v>
      </c>
      <c r="D12" s="11">
        <v>0.24686381290499601</v>
      </c>
      <c r="E12" s="44">
        <v>0.16633684373164601</v>
      </c>
    </row>
    <row r="13" spans="1:5" hidden="1" x14ac:dyDescent="0.2">
      <c r="A13" s="6" t="s">
        <v>61</v>
      </c>
      <c r="B13" s="7" t="s">
        <v>12</v>
      </c>
      <c r="C13" s="7" t="s">
        <v>247</v>
      </c>
      <c r="D13" s="42">
        <v>0.66043166910492002</v>
      </c>
      <c r="E13" s="45">
        <v>0.68279464082118002</v>
      </c>
    </row>
    <row r="14" spans="1:5" x14ac:dyDescent="0.2">
      <c r="A14" s="4" t="s">
        <v>61</v>
      </c>
      <c r="B14" s="5" t="s">
        <v>19</v>
      </c>
      <c r="C14" s="5" t="s">
        <v>248</v>
      </c>
      <c r="D14" s="11">
        <v>0.65693740471687101</v>
      </c>
      <c r="E14" s="44">
        <v>0.68208073893398302</v>
      </c>
    </row>
    <row r="15" spans="1:5" hidden="1" x14ac:dyDescent="0.2">
      <c r="A15" s="6" t="s">
        <v>61</v>
      </c>
      <c r="B15" s="7" t="s">
        <v>24</v>
      </c>
      <c r="C15" s="7" t="s">
        <v>249</v>
      </c>
      <c r="D15" s="12">
        <v>0.668837708052195</v>
      </c>
      <c r="E15" s="45">
        <v>0.69531876727911901</v>
      </c>
    </row>
    <row r="16" spans="1:5" hidden="1" x14ac:dyDescent="0.2">
      <c r="A16" s="4" t="s">
        <v>61</v>
      </c>
      <c r="B16" s="5" t="s">
        <v>28</v>
      </c>
      <c r="C16" s="5" t="s">
        <v>250</v>
      </c>
      <c r="D16" s="11">
        <v>0.67095073120098803</v>
      </c>
      <c r="E16" s="44">
        <v>0.69777479592314495</v>
      </c>
    </row>
    <row r="17" spans="1:5" hidden="1" x14ac:dyDescent="0.2">
      <c r="A17" s="6" t="s">
        <v>61</v>
      </c>
      <c r="B17" s="7" t="s">
        <v>32</v>
      </c>
      <c r="C17" s="7" t="s">
        <v>251</v>
      </c>
      <c r="D17" s="12">
        <v>0.65838804078415203</v>
      </c>
      <c r="E17" s="45">
        <v>0.68349565015250702</v>
      </c>
    </row>
    <row r="18" spans="1:5" hidden="1" x14ac:dyDescent="0.2">
      <c r="A18" s="4" t="s">
        <v>61</v>
      </c>
      <c r="B18" s="5" t="s">
        <v>36</v>
      </c>
      <c r="C18" s="5" t="s">
        <v>252</v>
      </c>
      <c r="D18" s="11">
        <v>0.72374581361208501</v>
      </c>
      <c r="E18" s="46">
        <v>0.73700339313221797</v>
      </c>
    </row>
    <row r="19" spans="1:5" hidden="1" x14ac:dyDescent="0.2">
      <c r="A19" s="6" t="s">
        <v>61</v>
      </c>
      <c r="B19" s="7" t="s">
        <v>40</v>
      </c>
      <c r="C19" s="7" t="s">
        <v>253</v>
      </c>
      <c r="D19" s="12">
        <v>0.765450294311946</v>
      </c>
      <c r="E19" s="45">
        <v>0.74922278638737005</v>
      </c>
    </row>
    <row r="20" spans="1:5" hidden="1" x14ac:dyDescent="0.2">
      <c r="A20" s="4" t="s">
        <v>61</v>
      </c>
      <c r="B20" s="5" t="s">
        <v>43</v>
      </c>
      <c r="C20" s="5" t="s">
        <v>254</v>
      </c>
      <c r="D20" s="11">
        <v>0.78742267907035202</v>
      </c>
      <c r="E20" s="44">
        <v>0.79550003135748604</v>
      </c>
    </row>
    <row r="21" spans="1:5" hidden="1" x14ac:dyDescent="0.2">
      <c r="A21" s="6" t="s">
        <v>61</v>
      </c>
      <c r="B21" s="7" t="s">
        <v>48</v>
      </c>
      <c r="C21" s="7" t="s">
        <v>255</v>
      </c>
      <c r="D21" s="12">
        <v>0.71707070080305901</v>
      </c>
      <c r="E21" s="45">
        <v>0.74418657237458496</v>
      </c>
    </row>
    <row r="22" spans="1:5" hidden="1" x14ac:dyDescent="0.2">
      <c r="A22" s="4" t="s">
        <v>61</v>
      </c>
      <c r="B22" s="5" t="s">
        <v>52</v>
      </c>
      <c r="C22" s="5" t="s">
        <v>256</v>
      </c>
      <c r="D22" s="41">
        <v>0.73857218814408898</v>
      </c>
      <c r="E22" s="44">
        <v>0.75266747316967397</v>
      </c>
    </row>
    <row r="23" spans="1:5" hidden="1" x14ac:dyDescent="0.2">
      <c r="A23" s="6" t="s">
        <v>61</v>
      </c>
      <c r="B23" s="7" t="s">
        <v>56</v>
      </c>
      <c r="C23" s="7" t="s">
        <v>257</v>
      </c>
      <c r="D23" s="12">
        <v>0.65831235479147199</v>
      </c>
      <c r="E23" s="47">
        <v>0.68346967094123001</v>
      </c>
    </row>
    <row r="24" spans="1:5" hidden="1" x14ac:dyDescent="0.2">
      <c r="A24" s="4" t="s">
        <v>94</v>
      </c>
      <c r="B24" s="5" t="s">
        <v>12</v>
      </c>
      <c r="C24" s="5" t="s">
        <v>258</v>
      </c>
      <c r="D24" s="11">
        <v>0.54934216999991203</v>
      </c>
      <c r="E24" s="44">
        <v>0.54146896120195198</v>
      </c>
    </row>
    <row r="25" spans="1:5" x14ac:dyDescent="0.2">
      <c r="A25" s="6" t="s">
        <v>94</v>
      </c>
      <c r="B25" s="7" t="s">
        <v>19</v>
      </c>
      <c r="C25" s="7" t="s">
        <v>259</v>
      </c>
      <c r="D25" s="12">
        <v>0.57259215625580095</v>
      </c>
      <c r="E25" s="47">
        <v>0.57526024921223495</v>
      </c>
    </row>
    <row r="26" spans="1:5" hidden="1" x14ac:dyDescent="0.2">
      <c r="A26" s="4" t="s">
        <v>94</v>
      </c>
      <c r="B26" s="5" t="s">
        <v>24</v>
      </c>
      <c r="C26" s="5" t="s">
        <v>260</v>
      </c>
      <c r="D26" s="11">
        <v>0.55833869403457703</v>
      </c>
      <c r="E26" s="44">
        <v>0.55399818557025704</v>
      </c>
    </row>
    <row r="27" spans="1:5" hidden="1" x14ac:dyDescent="0.2">
      <c r="A27" s="6" t="s">
        <v>94</v>
      </c>
      <c r="B27" s="7" t="s">
        <v>28</v>
      </c>
      <c r="C27" s="7" t="s">
        <v>261</v>
      </c>
      <c r="D27" s="42">
        <v>0.56140121808677201</v>
      </c>
      <c r="E27" s="45">
        <v>0.56025325680567994</v>
      </c>
    </row>
    <row r="28" spans="1:5" hidden="1" x14ac:dyDescent="0.2">
      <c r="A28" s="4" t="s">
        <v>94</v>
      </c>
      <c r="B28" s="5" t="s">
        <v>32</v>
      </c>
      <c r="C28" s="5" t="s">
        <v>262</v>
      </c>
      <c r="D28" s="11">
        <v>0.57620999965739295</v>
      </c>
      <c r="E28" s="44">
        <v>0.57708392278777598</v>
      </c>
    </row>
    <row r="29" spans="1:5" hidden="1" x14ac:dyDescent="0.2">
      <c r="A29" s="6" t="s">
        <v>94</v>
      </c>
      <c r="B29" s="7" t="s">
        <v>36</v>
      </c>
      <c r="C29" s="7" t="s">
        <v>263</v>
      </c>
      <c r="D29" s="12">
        <v>0.55836682962401596</v>
      </c>
      <c r="E29" s="45">
        <v>0.56276213382568396</v>
      </c>
    </row>
    <row r="30" spans="1:5" hidden="1" x14ac:dyDescent="0.2">
      <c r="A30" s="4" t="s">
        <v>94</v>
      </c>
      <c r="B30" s="5" t="s">
        <v>40</v>
      </c>
      <c r="C30" s="5" t="s">
        <v>264</v>
      </c>
      <c r="D30" s="11">
        <v>0.61577722349836606</v>
      </c>
      <c r="E30" s="44">
        <v>0.58346027103902198</v>
      </c>
    </row>
    <row r="31" spans="1:5" hidden="1" x14ac:dyDescent="0.2">
      <c r="A31" s="6" t="s">
        <v>94</v>
      </c>
      <c r="B31" s="7" t="s">
        <v>43</v>
      </c>
      <c r="C31" s="7" t="s">
        <v>265</v>
      </c>
      <c r="D31" s="12">
        <v>0.60023140650857298</v>
      </c>
      <c r="E31" s="45">
        <v>0.55454494330680404</v>
      </c>
    </row>
    <row r="32" spans="1:5" hidden="1" x14ac:dyDescent="0.2">
      <c r="A32" s="4" t="s">
        <v>94</v>
      </c>
      <c r="B32" s="5" t="s">
        <v>48</v>
      </c>
      <c r="C32" s="5" t="s">
        <v>266</v>
      </c>
      <c r="D32" s="11">
        <v>0.52132499653409303</v>
      </c>
      <c r="E32" s="44">
        <v>0.51289203208991596</v>
      </c>
    </row>
    <row r="33" spans="1:5" hidden="1" x14ac:dyDescent="0.2">
      <c r="A33" s="6" t="s">
        <v>94</v>
      </c>
      <c r="B33" s="7" t="s">
        <v>52</v>
      </c>
      <c r="C33" s="7" t="s">
        <v>267</v>
      </c>
      <c r="D33" s="12">
        <v>0.554791363897845</v>
      </c>
      <c r="E33" s="45">
        <v>0.55944030191242999</v>
      </c>
    </row>
    <row r="34" spans="1:5" hidden="1" x14ac:dyDescent="0.2">
      <c r="A34" s="4" t="s">
        <v>94</v>
      </c>
      <c r="B34" s="5" t="s">
        <v>56</v>
      </c>
      <c r="C34" s="5" t="s">
        <v>268</v>
      </c>
      <c r="D34" s="41">
        <v>0.5</v>
      </c>
      <c r="E34" s="44">
        <v>0.41270394467837801</v>
      </c>
    </row>
    <row r="35" spans="1:5" hidden="1" x14ac:dyDescent="0.2">
      <c r="A35" s="6" t="s">
        <v>133</v>
      </c>
      <c r="B35" s="7" t="s">
        <v>12</v>
      </c>
      <c r="C35" s="7" t="s">
        <v>269</v>
      </c>
      <c r="D35" s="12">
        <v>0.32904197123279599</v>
      </c>
      <c r="E35" s="45">
        <v>0.330199040988575</v>
      </c>
    </row>
    <row r="36" spans="1:5" x14ac:dyDescent="0.2">
      <c r="A36" s="4" t="s">
        <v>133</v>
      </c>
      <c r="B36" s="5" t="s">
        <v>19</v>
      </c>
      <c r="C36" s="5" t="s">
        <v>270</v>
      </c>
      <c r="D36" s="11">
        <v>0.34764287719168802</v>
      </c>
      <c r="E36" s="44">
        <v>0.34191197031589299</v>
      </c>
    </row>
    <row r="37" spans="1:5" hidden="1" x14ac:dyDescent="0.2">
      <c r="A37" s="6" t="s">
        <v>133</v>
      </c>
      <c r="B37" s="7" t="s">
        <v>24</v>
      </c>
      <c r="C37" s="7" t="s">
        <v>271</v>
      </c>
      <c r="D37" s="12">
        <v>0.33106140748108198</v>
      </c>
      <c r="E37" s="45">
        <v>0.33091777156032298</v>
      </c>
    </row>
    <row r="38" spans="1:5" hidden="1" x14ac:dyDescent="0.2">
      <c r="A38" s="4" t="s">
        <v>133</v>
      </c>
      <c r="B38" s="5" t="s">
        <v>28</v>
      </c>
      <c r="C38" s="5" t="s">
        <v>272</v>
      </c>
      <c r="D38" s="11">
        <v>0.334709054798845</v>
      </c>
      <c r="E38" s="44">
        <v>0.33386768584012599</v>
      </c>
    </row>
    <row r="39" spans="1:5" hidden="1" x14ac:dyDescent="0.2">
      <c r="A39" s="6" t="s">
        <v>133</v>
      </c>
      <c r="B39" s="7" t="s">
        <v>32</v>
      </c>
      <c r="C39" s="7" t="s">
        <v>273</v>
      </c>
      <c r="D39" s="12">
        <v>0.34742543927153302</v>
      </c>
      <c r="E39" s="45">
        <v>0.34323768481546602</v>
      </c>
    </row>
    <row r="40" spans="1:5" hidden="1" x14ac:dyDescent="0.2">
      <c r="A40" s="4" t="s">
        <v>133</v>
      </c>
      <c r="B40" s="5" t="s">
        <v>36</v>
      </c>
      <c r="C40" s="5" t="s">
        <v>274</v>
      </c>
      <c r="D40" s="11">
        <v>0.393829083975969</v>
      </c>
      <c r="E40" s="44">
        <v>0.38317943008050098</v>
      </c>
    </row>
    <row r="41" spans="1:5" hidden="1" x14ac:dyDescent="0.2">
      <c r="A41" s="6" t="s">
        <v>133</v>
      </c>
      <c r="B41" s="7" t="s">
        <v>40</v>
      </c>
      <c r="C41" s="7" t="s">
        <v>275</v>
      </c>
      <c r="D41" s="12">
        <v>0.39085496944155601</v>
      </c>
      <c r="E41" s="45">
        <v>0.39014358572964503</v>
      </c>
    </row>
    <row r="42" spans="1:5" hidden="1" x14ac:dyDescent="0.2">
      <c r="A42" s="4" t="s">
        <v>133</v>
      </c>
      <c r="B42" s="5" t="s">
        <v>43</v>
      </c>
      <c r="C42" s="5" t="s">
        <v>276</v>
      </c>
      <c r="D42" s="11">
        <v>0.34908771334084698</v>
      </c>
      <c r="E42" s="44">
        <v>0.34720647493484602</v>
      </c>
    </row>
    <row r="43" spans="1:5" hidden="1" x14ac:dyDescent="0.2">
      <c r="A43" s="6" t="s">
        <v>133</v>
      </c>
      <c r="B43" s="7" t="s">
        <v>48</v>
      </c>
      <c r="C43" s="7" t="s">
        <v>277</v>
      </c>
      <c r="D43" s="12">
        <v>0.37670411177694002</v>
      </c>
      <c r="E43" s="45">
        <v>0.33680229157161801</v>
      </c>
    </row>
    <row r="44" spans="1:5" hidden="1" x14ac:dyDescent="0.2">
      <c r="A44" s="4" t="s">
        <v>133</v>
      </c>
      <c r="B44" s="5" t="s">
        <v>52</v>
      </c>
      <c r="C44" s="5" t="s">
        <v>278</v>
      </c>
      <c r="D44" s="11">
        <v>0.39387690904640299</v>
      </c>
      <c r="E44" s="46">
        <v>0.38084229333062602</v>
      </c>
    </row>
    <row r="45" spans="1:5" hidden="1" x14ac:dyDescent="0.2">
      <c r="A45" s="6" t="s">
        <v>133</v>
      </c>
      <c r="B45" s="7" t="s">
        <v>56</v>
      </c>
      <c r="C45" s="7" t="s">
        <v>279</v>
      </c>
      <c r="D45" s="12">
        <v>0.37869701611252199</v>
      </c>
      <c r="E45" s="45">
        <v>0.30716597372263099</v>
      </c>
    </row>
    <row r="46" spans="1:5" hidden="1" x14ac:dyDescent="0.2">
      <c r="A46" s="4" t="s">
        <v>171</v>
      </c>
      <c r="B46" s="5" t="s">
        <v>12</v>
      </c>
      <c r="C46" s="5" t="s">
        <v>280</v>
      </c>
      <c r="D46" s="11">
        <v>0.42159730646124799</v>
      </c>
      <c r="E46" s="44">
        <v>0.42526365961053098</v>
      </c>
    </row>
    <row r="47" spans="1:5" x14ac:dyDescent="0.2">
      <c r="A47" s="6" t="s">
        <v>171</v>
      </c>
      <c r="B47" s="7" t="s">
        <v>19</v>
      </c>
      <c r="C47" s="7" t="s">
        <v>281</v>
      </c>
      <c r="D47" s="12">
        <v>0.45859312840569499</v>
      </c>
      <c r="E47" s="45">
        <v>0.46739831685142902</v>
      </c>
    </row>
    <row r="48" spans="1:5" hidden="1" x14ac:dyDescent="0.2">
      <c r="A48" s="4" t="s">
        <v>171</v>
      </c>
      <c r="B48" s="5" t="s">
        <v>24</v>
      </c>
      <c r="C48" s="5" t="s">
        <v>282</v>
      </c>
      <c r="D48" s="41">
        <v>0.44857915355944</v>
      </c>
      <c r="E48" s="44">
        <v>0.450440543688789</v>
      </c>
    </row>
    <row r="49" spans="1:5" hidden="1" x14ac:dyDescent="0.2">
      <c r="A49" s="6" t="s">
        <v>171</v>
      </c>
      <c r="B49" s="7" t="s">
        <v>28</v>
      </c>
      <c r="C49" s="7" t="s">
        <v>283</v>
      </c>
      <c r="D49" s="12">
        <v>0.44101663244234801</v>
      </c>
      <c r="E49" s="45">
        <v>0.44761156565272198</v>
      </c>
    </row>
    <row r="50" spans="1:5" hidden="1" x14ac:dyDescent="0.2">
      <c r="A50" s="4" t="s">
        <v>171</v>
      </c>
      <c r="B50" s="5" t="s">
        <v>32</v>
      </c>
      <c r="C50" s="5" t="s">
        <v>284</v>
      </c>
      <c r="D50" s="11">
        <v>0.45696840088203899</v>
      </c>
      <c r="E50" s="44">
        <v>0.46326218196558799</v>
      </c>
    </row>
    <row r="51" spans="1:5" hidden="1" x14ac:dyDescent="0.2">
      <c r="A51" s="6" t="s">
        <v>171</v>
      </c>
      <c r="B51" s="7" t="s">
        <v>36</v>
      </c>
      <c r="C51" s="7" t="s">
        <v>285</v>
      </c>
      <c r="D51" s="42">
        <v>0.50573615943149597</v>
      </c>
      <c r="E51" s="47">
        <v>0.50061384362684902</v>
      </c>
    </row>
    <row r="52" spans="1:5" hidden="1" x14ac:dyDescent="0.2">
      <c r="A52" s="4" t="s">
        <v>171</v>
      </c>
      <c r="B52" s="5" t="s">
        <v>40</v>
      </c>
      <c r="C52" s="5" t="s">
        <v>286</v>
      </c>
      <c r="D52" s="11">
        <v>0.50391032853011997</v>
      </c>
      <c r="E52" s="44">
        <v>0.49358594234547298</v>
      </c>
    </row>
    <row r="53" spans="1:5" hidden="1" x14ac:dyDescent="0.2">
      <c r="A53" s="6" t="s">
        <v>171</v>
      </c>
      <c r="B53" s="7" t="s">
        <v>43</v>
      </c>
      <c r="C53" s="7" t="s">
        <v>287</v>
      </c>
      <c r="D53" s="12">
        <v>0.47583234152914999</v>
      </c>
      <c r="E53" s="45">
        <v>0.481755384813499</v>
      </c>
    </row>
    <row r="54" spans="1:5" hidden="1" x14ac:dyDescent="0.2">
      <c r="A54" s="4" t="s">
        <v>171</v>
      </c>
      <c r="B54" s="5" t="s">
        <v>48</v>
      </c>
      <c r="C54" s="5" t="s">
        <v>288</v>
      </c>
      <c r="D54" s="11">
        <v>0.49953825878000302</v>
      </c>
      <c r="E54" s="46">
        <v>0.50641568921743896</v>
      </c>
    </row>
    <row r="55" spans="1:5" hidden="1" x14ac:dyDescent="0.2">
      <c r="A55" s="6" t="s">
        <v>171</v>
      </c>
      <c r="B55" s="7" t="s">
        <v>52</v>
      </c>
      <c r="C55" s="7" t="s">
        <v>289</v>
      </c>
      <c r="D55" s="12">
        <v>0.51436119665508895</v>
      </c>
      <c r="E55" s="45">
        <v>0.51081080852746097</v>
      </c>
    </row>
    <row r="56" spans="1:5" hidden="1" x14ac:dyDescent="0.2">
      <c r="A56" s="4" t="s">
        <v>171</v>
      </c>
      <c r="B56" s="5" t="s">
        <v>56</v>
      </c>
      <c r="C56" s="5" t="s">
        <v>290</v>
      </c>
      <c r="D56" s="41">
        <v>0.52408969936051997</v>
      </c>
      <c r="E56" s="44">
        <v>0.51867425524064803</v>
      </c>
    </row>
    <row r="57" spans="1:5" hidden="1" x14ac:dyDescent="0.2">
      <c r="A57" s="6" t="s">
        <v>203</v>
      </c>
      <c r="B57" s="7" t="s">
        <v>12</v>
      </c>
      <c r="C57" s="7" t="s">
        <v>291</v>
      </c>
      <c r="D57" s="42">
        <v>0.63313510584315802</v>
      </c>
      <c r="E57" s="45">
        <v>0.63990941585031402</v>
      </c>
    </row>
    <row r="58" spans="1:5" x14ac:dyDescent="0.2">
      <c r="A58" s="4" t="s">
        <v>203</v>
      </c>
      <c r="B58" s="5" t="s">
        <v>19</v>
      </c>
      <c r="C58" s="5" t="s">
        <v>292</v>
      </c>
      <c r="D58" s="11">
        <v>0.65776007324708796</v>
      </c>
      <c r="E58" s="44">
        <v>0.66833036712474303</v>
      </c>
    </row>
    <row r="59" spans="1:5" hidden="1" x14ac:dyDescent="0.2">
      <c r="A59" s="6" t="s">
        <v>203</v>
      </c>
      <c r="B59" s="7" t="s">
        <v>24</v>
      </c>
      <c r="C59" s="7" t="s">
        <v>293</v>
      </c>
      <c r="D59" s="12">
        <v>0.640063799490175</v>
      </c>
      <c r="E59" s="45">
        <v>0.64719294454542797</v>
      </c>
    </row>
    <row r="60" spans="1:5" hidden="1" x14ac:dyDescent="0.2">
      <c r="A60" s="4" t="s">
        <v>203</v>
      </c>
      <c r="B60" s="5" t="s">
        <v>28</v>
      </c>
      <c r="C60" s="5" t="s">
        <v>294</v>
      </c>
      <c r="D60" s="11">
        <v>0.64803506258851495</v>
      </c>
      <c r="E60" s="44">
        <v>0.656637989872774</v>
      </c>
    </row>
    <row r="61" spans="1:5" hidden="1" x14ac:dyDescent="0.2">
      <c r="A61" s="6" t="s">
        <v>203</v>
      </c>
      <c r="B61" s="7" t="s">
        <v>32</v>
      </c>
      <c r="C61" s="7" t="s">
        <v>295</v>
      </c>
      <c r="D61" s="12">
        <v>0.66464310027152795</v>
      </c>
      <c r="E61" s="45">
        <v>0.67586051335275898</v>
      </c>
    </row>
    <row r="62" spans="1:5" hidden="1" x14ac:dyDescent="0.2">
      <c r="A62" s="4" t="s">
        <v>203</v>
      </c>
      <c r="B62" s="5" t="s">
        <v>36</v>
      </c>
      <c r="C62" s="5" t="s">
        <v>296</v>
      </c>
      <c r="D62" s="11">
        <v>0.72519682376365902</v>
      </c>
      <c r="E62" s="46">
        <v>0.73156943084124704</v>
      </c>
    </row>
    <row r="63" spans="1:5" hidden="1" x14ac:dyDescent="0.2">
      <c r="A63" s="6" t="s">
        <v>203</v>
      </c>
      <c r="B63" s="7" t="s">
        <v>40</v>
      </c>
      <c r="C63" s="7" t="s">
        <v>297</v>
      </c>
      <c r="D63" s="42">
        <v>0.74775796701111596</v>
      </c>
      <c r="E63" s="45">
        <v>0.74442445336057095</v>
      </c>
    </row>
    <row r="64" spans="1:5" hidden="1" x14ac:dyDescent="0.2">
      <c r="A64" s="4" t="s">
        <v>203</v>
      </c>
      <c r="B64" s="5" t="s">
        <v>43</v>
      </c>
      <c r="C64" s="5" t="s">
        <v>298</v>
      </c>
      <c r="D64" s="11">
        <v>0.72348343846419605</v>
      </c>
      <c r="E64" s="44">
        <v>0.73490380900427299</v>
      </c>
    </row>
    <row r="65" spans="1:5" hidden="1" x14ac:dyDescent="0.2">
      <c r="A65" s="6" t="s">
        <v>203</v>
      </c>
      <c r="B65" s="7" t="s">
        <v>48</v>
      </c>
      <c r="C65" s="7" t="s">
        <v>299</v>
      </c>
      <c r="D65" s="12">
        <v>0.71604612815559598</v>
      </c>
      <c r="E65" s="45">
        <v>0.73153082234668898</v>
      </c>
    </row>
    <row r="66" spans="1:5" hidden="1" x14ac:dyDescent="0.2">
      <c r="A66" s="4" t="s">
        <v>203</v>
      </c>
      <c r="B66" s="5" t="s">
        <v>52</v>
      </c>
      <c r="C66" s="5" t="s">
        <v>300</v>
      </c>
      <c r="D66" s="11">
        <v>0.73493248247160403</v>
      </c>
      <c r="E66" s="44">
        <v>0.74274351422679996</v>
      </c>
    </row>
    <row r="67" spans="1:5" hidden="1" x14ac:dyDescent="0.2">
      <c r="A67" s="8" t="s">
        <v>203</v>
      </c>
      <c r="B67" s="9" t="s">
        <v>56</v>
      </c>
      <c r="C67" s="9" t="s">
        <v>301</v>
      </c>
      <c r="D67" s="48">
        <v>0.69674609473054705</v>
      </c>
      <c r="E67" s="49">
        <v>0.70886430899040498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2CB-CB5C-DF43-B35C-741C03276008}">
  <dimension ref="A1:H14"/>
  <sheetViews>
    <sheetView zoomScale="120" zoomScaleNormal="120" workbookViewId="0">
      <selection activeCell="F15" sqref="F15"/>
    </sheetView>
  </sheetViews>
  <sheetFormatPr baseColWidth="10" defaultRowHeight="16" x14ac:dyDescent="0.2"/>
  <cols>
    <col min="1" max="1" width="16.6640625" bestFit="1" customWidth="1"/>
    <col min="2" max="2" width="36.6640625" bestFit="1" customWidth="1"/>
    <col min="3" max="3" width="26.83203125" bestFit="1" customWidth="1"/>
    <col min="4" max="4" width="32.5" style="13" bestFit="1" customWidth="1"/>
    <col min="5" max="5" width="25.33203125" style="13" bestFit="1" customWidth="1"/>
    <col min="6" max="6" width="17" bestFit="1" customWidth="1"/>
  </cols>
  <sheetData>
    <row r="1" spans="1:8" ht="17" thickBot="1" x14ac:dyDescent="0.25">
      <c r="A1" s="29" t="s">
        <v>0</v>
      </c>
      <c r="B1" s="29" t="s">
        <v>324</v>
      </c>
      <c r="C1" s="30" t="s">
        <v>1</v>
      </c>
      <c r="D1" s="30" t="s">
        <v>312</v>
      </c>
      <c r="E1" s="30" t="s">
        <v>235</v>
      </c>
      <c r="F1" s="31" t="s">
        <v>9</v>
      </c>
      <c r="G1" s="32" t="s">
        <v>10</v>
      </c>
      <c r="H1" s="40" t="s">
        <v>322</v>
      </c>
    </row>
    <row r="2" spans="1:8" ht="18" thickTop="1" thickBot="1" x14ac:dyDescent="0.25">
      <c r="A2" s="26" t="str">
        <f>A1</f>
        <v>task_name</v>
      </c>
      <c r="B2" s="26" t="s">
        <v>325</v>
      </c>
      <c r="C2" s="15" t="s">
        <v>308</v>
      </c>
      <c r="D2" s="15" t="s">
        <v>313</v>
      </c>
      <c r="E2" s="15" t="str">
        <f>_xlfn.CONCAT(A2, " - ",C2)</f>
        <v>task_name - random</v>
      </c>
      <c r="F2" s="16">
        <v>0.25</v>
      </c>
      <c r="G2" s="17">
        <v>0.25</v>
      </c>
      <c r="H2" s="39">
        <v>1</v>
      </c>
    </row>
    <row r="3" spans="1:8" ht="18" thickTop="1" thickBot="1" x14ac:dyDescent="0.25">
      <c r="A3" s="27" t="s">
        <v>11</v>
      </c>
      <c r="B3" s="26" t="s">
        <v>325</v>
      </c>
      <c r="C3" s="18" t="s">
        <v>43</v>
      </c>
      <c r="D3" s="18" t="s">
        <v>309</v>
      </c>
      <c r="E3" s="18" t="s">
        <v>243</v>
      </c>
      <c r="F3" s="19">
        <v>0.24096703872637501</v>
      </c>
      <c r="G3" s="20">
        <v>0.23062354425393</v>
      </c>
      <c r="H3" s="39">
        <v>0</v>
      </c>
    </row>
    <row r="4" spans="1:8" ht="18" thickTop="1" thickBot="1" x14ac:dyDescent="0.25">
      <c r="A4" s="27" t="s">
        <v>11</v>
      </c>
      <c r="B4" s="26" t="s">
        <v>325</v>
      </c>
      <c r="C4" s="18" t="s">
        <v>56</v>
      </c>
      <c r="D4" s="18" t="s">
        <v>310</v>
      </c>
      <c r="E4" s="18" t="s">
        <v>246</v>
      </c>
      <c r="F4" s="19">
        <v>0.24686381290499601</v>
      </c>
      <c r="G4" s="20">
        <v>0.16633684373164601</v>
      </c>
      <c r="H4" s="39">
        <v>0</v>
      </c>
    </row>
    <row r="5" spans="1:8" ht="18" thickTop="1" thickBot="1" x14ac:dyDescent="0.25">
      <c r="A5" s="27" t="s">
        <v>11</v>
      </c>
      <c r="B5" s="26" t="s">
        <v>325</v>
      </c>
      <c r="C5" s="18" t="s">
        <v>48</v>
      </c>
      <c r="D5" s="18" t="s">
        <v>311</v>
      </c>
      <c r="E5" s="18" t="s">
        <v>244</v>
      </c>
      <c r="F5" s="19">
        <v>0.24748213816978401</v>
      </c>
      <c r="G5" s="20">
        <v>0.213785797551652</v>
      </c>
      <c r="H5" s="39">
        <v>0</v>
      </c>
    </row>
    <row r="6" spans="1:8" ht="18" thickTop="1" thickBot="1" x14ac:dyDescent="0.25">
      <c r="A6" s="27" t="s">
        <v>11</v>
      </c>
      <c r="B6" s="26" t="s">
        <v>325</v>
      </c>
      <c r="C6" s="18" t="s">
        <v>52</v>
      </c>
      <c r="D6" s="21" t="s">
        <v>314</v>
      </c>
      <c r="E6" s="18" t="s">
        <v>245</v>
      </c>
      <c r="F6" s="19">
        <v>0.26125610107875902</v>
      </c>
      <c r="G6" s="20">
        <v>0.23699439691197799</v>
      </c>
      <c r="H6" s="39">
        <v>0</v>
      </c>
    </row>
    <row r="7" spans="1:8" ht="18" thickTop="1" thickBot="1" x14ac:dyDescent="0.25">
      <c r="A7" s="27" t="s">
        <v>11</v>
      </c>
      <c r="B7" s="26" t="s">
        <v>325</v>
      </c>
      <c r="C7" s="18" t="s">
        <v>32</v>
      </c>
      <c r="D7" s="18" t="s">
        <v>315</v>
      </c>
      <c r="E7" s="18" t="s">
        <v>306</v>
      </c>
      <c r="F7" s="19">
        <v>0.26357770750863202</v>
      </c>
      <c r="G7" s="20">
        <v>0.24536388535089201</v>
      </c>
      <c r="H7" s="39">
        <v>0</v>
      </c>
    </row>
    <row r="8" spans="1:8" ht="18" thickTop="1" thickBot="1" x14ac:dyDescent="0.25">
      <c r="A8" s="27" t="s">
        <v>11</v>
      </c>
      <c r="B8" s="26" t="s">
        <v>325</v>
      </c>
      <c r="C8" s="18" t="s">
        <v>24</v>
      </c>
      <c r="D8" s="18" t="s">
        <v>316</v>
      </c>
      <c r="E8" s="18" t="s">
        <v>304</v>
      </c>
      <c r="F8" s="19">
        <v>0.26366790328200101</v>
      </c>
      <c r="G8" s="20">
        <v>0.24902821906773001</v>
      </c>
      <c r="H8" s="39">
        <v>0</v>
      </c>
    </row>
    <row r="9" spans="1:8" ht="18" thickTop="1" thickBot="1" x14ac:dyDescent="0.25">
      <c r="A9" s="27" t="s">
        <v>11</v>
      </c>
      <c r="B9" s="26" t="s">
        <v>325</v>
      </c>
      <c r="C9" s="18" t="s">
        <v>12</v>
      </c>
      <c r="D9" s="18" t="s">
        <v>317</v>
      </c>
      <c r="E9" s="18" t="s">
        <v>302</v>
      </c>
      <c r="F9" s="19">
        <v>0.264187176232141</v>
      </c>
      <c r="G9" s="20">
        <v>0.25284943007307897</v>
      </c>
      <c r="H9" s="39">
        <v>0</v>
      </c>
    </row>
    <row r="10" spans="1:8" ht="18" thickTop="1" thickBot="1" x14ac:dyDescent="0.25">
      <c r="A10" s="27" t="s">
        <v>11</v>
      </c>
      <c r="B10" s="26" t="s">
        <v>325</v>
      </c>
      <c r="C10" s="18" t="s">
        <v>28</v>
      </c>
      <c r="D10" s="18" t="s">
        <v>318</v>
      </c>
      <c r="E10" s="18" t="s">
        <v>305</v>
      </c>
      <c r="F10" s="19">
        <v>0.265377032150932</v>
      </c>
      <c r="G10" s="20">
        <v>0.24777355854046601</v>
      </c>
      <c r="H10" s="39">
        <v>0</v>
      </c>
    </row>
    <row r="11" spans="1:8" ht="18" thickTop="1" thickBot="1" x14ac:dyDescent="0.25">
      <c r="A11" s="27" t="s">
        <v>11</v>
      </c>
      <c r="B11" s="26" t="s">
        <v>325</v>
      </c>
      <c r="C11" s="18" t="s">
        <v>19</v>
      </c>
      <c r="D11" s="18" t="s">
        <v>319</v>
      </c>
      <c r="E11" s="18" t="s">
        <v>303</v>
      </c>
      <c r="F11" s="19">
        <v>0.27008932574240302</v>
      </c>
      <c r="G11" s="20">
        <v>0.24835835713765</v>
      </c>
      <c r="H11" s="39">
        <v>0</v>
      </c>
    </row>
    <row r="12" spans="1:8" ht="18" thickTop="1" thickBot="1" x14ac:dyDescent="0.25">
      <c r="A12" s="27" t="s">
        <v>11</v>
      </c>
      <c r="B12" s="26" t="s">
        <v>325</v>
      </c>
      <c r="C12" s="18" t="s">
        <v>40</v>
      </c>
      <c r="D12" s="18" t="s">
        <v>320</v>
      </c>
      <c r="E12" s="18" t="s">
        <v>242</v>
      </c>
      <c r="F12" s="19">
        <v>0.27188960719951899</v>
      </c>
      <c r="G12" s="20">
        <v>0.25621425558732203</v>
      </c>
      <c r="H12" s="39">
        <v>0</v>
      </c>
    </row>
    <row r="13" spans="1:8" ht="17" thickTop="1" x14ac:dyDescent="0.2">
      <c r="A13" s="28" t="s">
        <v>11</v>
      </c>
      <c r="B13" s="26" t="s">
        <v>325</v>
      </c>
      <c r="C13" s="23" t="s">
        <v>36</v>
      </c>
      <c r="D13" s="23" t="s">
        <v>321</v>
      </c>
      <c r="E13" s="22" t="s">
        <v>241</v>
      </c>
      <c r="F13" s="24">
        <v>0.27210886725816702</v>
      </c>
      <c r="G13" s="25">
        <v>0.25396344765783402</v>
      </c>
      <c r="H13" s="39">
        <v>0</v>
      </c>
    </row>
    <row r="14" spans="1:8" x14ac:dyDescent="0.2">
      <c r="A14" s="88"/>
      <c r="B14" s="88"/>
      <c r="C14" s="85"/>
      <c r="D14" s="89"/>
      <c r="E14" s="89"/>
      <c r="F14" s="89">
        <f>AVERAGE(F3:F13)</f>
        <v>0.26067879184124626</v>
      </c>
      <c r="G14" s="89">
        <f>AVERAGE(G3:G13)</f>
        <v>0.23648106689674356</v>
      </c>
      <c r="H14" s="85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99C2-C15D-2549-A483-ABFF94C88A3B}">
  <dimension ref="A1:H14"/>
  <sheetViews>
    <sheetView zoomScale="120" zoomScaleNormal="120" workbookViewId="0">
      <selection activeCell="H18" sqref="H18"/>
    </sheetView>
  </sheetViews>
  <sheetFormatPr baseColWidth="10" defaultRowHeight="16" x14ac:dyDescent="0.2"/>
  <cols>
    <col min="1" max="1" width="13.1640625" bestFit="1" customWidth="1"/>
    <col min="2" max="2" width="35.33203125" bestFit="1" customWidth="1"/>
    <col min="3" max="3" width="14.33203125" bestFit="1" customWidth="1"/>
    <col min="4" max="4" width="26.1640625" bestFit="1" customWidth="1"/>
    <col min="5" max="5" width="28.33203125" bestFit="1" customWidth="1"/>
    <col min="6" max="6" width="25.33203125" bestFit="1" customWidth="1"/>
    <col min="7" max="7" width="17" bestFit="1" customWidth="1"/>
  </cols>
  <sheetData>
    <row r="1" spans="1:8" ht="17" thickBot="1" x14ac:dyDescent="0.25">
      <c r="A1" s="50" t="s">
        <v>0</v>
      </c>
      <c r="B1" s="50" t="s">
        <v>324</v>
      </c>
      <c r="C1" s="51" t="s">
        <v>1</v>
      </c>
      <c r="D1" s="30" t="s">
        <v>312</v>
      </c>
      <c r="E1" s="51" t="s">
        <v>235</v>
      </c>
      <c r="F1" s="52" t="s">
        <v>9</v>
      </c>
      <c r="G1" s="52" t="s">
        <v>10</v>
      </c>
      <c r="H1" s="51" t="s">
        <v>322</v>
      </c>
    </row>
    <row r="2" spans="1:8" ht="17" thickTop="1" x14ac:dyDescent="0.2">
      <c r="A2" s="38" t="str">
        <f>A1</f>
        <v>task_name</v>
      </c>
      <c r="B2" s="38" t="s">
        <v>327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0.25</v>
      </c>
      <c r="G2" s="53">
        <v>0.25</v>
      </c>
      <c r="H2" s="39">
        <v>1</v>
      </c>
    </row>
    <row r="3" spans="1:8" x14ac:dyDescent="0.2">
      <c r="A3" s="38" t="s">
        <v>133</v>
      </c>
      <c r="B3" s="38" t="s">
        <v>327</v>
      </c>
      <c r="C3" s="34" t="s">
        <v>12</v>
      </c>
      <c r="D3" s="18" t="s">
        <v>317</v>
      </c>
      <c r="E3" s="34" t="s">
        <v>269</v>
      </c>
      <c r="F3" s="54">
        <v>0.32904197123279599</v>
      </c>
      <c r="G3" s="54">
        <v>0.330199040988575</v>
      </c>
      <c r="H3" s="39">
        <v>0</v>
      </c>
    </row>
    <row r="4" spans="1:8" x14ac:dyDescent="0.2">
      <c r="A4" s="38" t="s">
        <v>133</v>
      </c>
      <c r="B4" s="38" t="s">
        <v>327</v>
      </c>
      <c r="C4" s="34" t="s">
        <v>24</v>
      </c>
      <c r="D4" s="18" t="s">
        <v>316</v>
      </c>
      <c r="E4" s="34" t="s">
        <v>271</v>
      </c>
      <c r="F4" s="54">
        <v>0.33106140748108198</v>
      </c>
      <c r="G4" s="54">
        <v>0.33091777156032298</v>
      </c>
      <c r="H4" s="39">
        <v>0</v>
      </c>
    </row>
    <row r="5" spans="1:8" x14ac:dyDescent="0.2">
      <c r="A5" s="38" t="s">
        <v>133</v>
      </c>
      <c r="B5" s="38" t="s">
        <v>327</v>
      </c>
      <c r="C5" s="34" t="s">
        <v>28</v>
      </c>
      <c r="D5" s="18" t="s">
        <v>318</v>
      </c>
      <c r="E5" s="34" t="s">
        <v>272</v>
      </c>
      <c r="F5" s="54">
        <v>0.334709054798845</v>
      </c>
      <c r="G5" s="54">
        <v>0.33386768584012599</v>
      </c>
      <c r="H5" s="39">
        <v>0</v>
      </c>
    </row>
    <row r="6" spans="1:8" x14ac:dyDescent="0.2">
      <c r="A6" s="38" t="s">
        <v>133</v>
      </c>
      <c r="B6" s="38" t="s">
        <v>327</v>
      </c>
      <c r="C6" s="34" t="s">
        <v>32</v>
      </c>
      <c r="D6" s="21" t="s">
        <v>315</v>
      </c>
      <c r="E6" s="34" t="s">
        <v>273</v>
      </c>
      <c r="F6" s="54">
        <v>0.34742543927153302</v>
      </c>
      <c r="G6" s="54">
        <v>0.34323768481546602</v>
      </c>
      <c r="H6" s="39">
        <v>0</v>
      </c>
    </row>
    <row r="7" spans="1:8" x14ac:dyDescent="0.2">
      <c r="A7" s="38" t="s">
        <v>133</v>
      </c>
      <c r="B7" s="38" t="s">
        <v>327</v>
      </c>
      <c r="C7" s="34" t="s">
        <v>19</v>
      </c>
      <c r="D7" s="18" t="s">
        <v>319</v>
      </c>
      <c r="E7" s="34" t="s">
        <v>270</v>
      </c>
      <c r="F7" s="54">
        <v>0.34764287719168802</v>
      </c>
      <c r="G7" s="54">
        <v>0.34191197031589299</v>
      </c>
      <c r="H7" s="39">
        <v>0</v>
      </c>
    </row>
    <row r="8" spans="1:8" x14ac:dyDescent="0.2">
      <c r="A8" s="38" t="s">
        <v>133</v>
      </c>
      <c r="B8" s="38" t="s">
        <v>327</v>
      </c>
      <c r="C8" s="34" t="s">
        <v>43</v>
      </c>
      <c r="D8" s="18" t="s">
        <v>309</v>
      </c>
      <c r="E8" s="34" t="s">
        <v>276</v>
      </c>
      <c r="F8" s="54">
        <v>0.34908771334084698</v>
      </c>
      <c r="G8" s="54">
        <v>0.34720647493484602</v>
      </c>
      <c r="H8" s="39">
        <v>0</v>
      </c>
    </row>
    <row r="9" spans="1:8" x14ac:dyDescent="0.2">
      <c r="A9" s="38" t="s">
        <v>133</v>
      </c>
      <c r="B9" s="38" t="s">
        <v>327</v>
      </c>
      <c r="C9" s="34" t="s">
        <v>48</v>
      </c>
      <c r="D9" s="18" t="s">
        <v>311</v>
      </c>
      <c r="E9" s="34" t="s">
        <v>277</v>
      </c>
      <c r="F9" s="54">
        <v>0.37670411177694002</v>
      </c>
      <c r="G9" s="54">
        <v>0.33680229157161801</v>
      </c>
      <c r="H9" s="39">
        <v>0</v>
      </c>
    </row>
    <row r="10" spans="1:8" x14ac:dyDescent="0.2">
      <c r="A10" s="38" t="s">
        <v>133</v>
      </c>
      <c r="B10" s="38" t="s">
        <v>327</v>
      </c>
      <c r="C10" s="34" t="s">
        <v>56</v>
      </c>
      <c r="D10" s="18" t="s">
        <v>310</v>
      </c>
      <c r="E10" s="34" t="s">
        <v>279</v>
      </c>
      <c r="F10" s="54">
        <v>0.37869701611252199</v>
      </c>
      <c r="G10" s="54">
        <v>0.30716597372263099</v>
      </c>
      <c r="H10" s="39">
        <v>0</v>
      </c>
    </row>
    <row r="11" spans="1:8" x14ac:dyDescent="0.2">
      <c r="A11" s="38" t="s">
        <v>133</v>
      </c>
      <c r="B11" s="38" t="s">
        <v>327</v>
      </c>
      <c r="C11" s="34" t="s">
        <v>40</v>
      </c>
      <c r="D11" s="18" t="s">
        <v>320</v>
      </c>
      <c r="E11" s="34" t="s">
        <v>275</v>
      </c>
      <c r="F11" s="54">
        <v>0.39085496944155601</v>
      </c>
      <c r="G11" s="54">
        <v>0.39014358572964503</v>
      </c>
      <c r="H11" s="39">
        <v>0</v>
      </c>
    </row>
    <row r="12" spans="1:8" x14ac:dyDescent="0.2">
      <c r="A12" s="38" t="s">
        <v>133</v>
      </c>
      <c r="B12" s="38" t="s">
        <v>327</v>
      </c>
      <c r="C12" s="34" t="s">
        <v>36</v>
      </c>
      <c r="D12" s="18" t="s">
        <v>321</v>
      </c>
      <c r="E12" s="34" t="s">
        <v>274</v>
      </c>
      <c r="F12" s="54">
        <v>0.393829083975969</v>
      </c>
      <c r="G12" s="54">
        <v>0.38317943008050098</v>
      </c>
      <c r="H12" s="39">
        <v>0</v>
      </c>
    </row>
    <row r="13" spans="1:8" x14ac:dyDescent="0.2">
      <c r="A13" s="38" t="s">
        <v>133</v>
      </c>
      <c r="B13" s="38" t="s">
        <v>327</v>
      </c>
      <c r="C13" s="35" t="s">
        <v>52</v>
      </c>
      <c r="D13" s="23" t="s">
        <v>314</v>
      </c>
      <c r="E13" s="33" t="s">
        <v>278</v>
      </c>
      <c r="F13" s="55">
        <v>0.39387690904640299</v>
      </c>
      <c r="G13" s="37">
        <v>0.38084229333062602</v>
      </c>
      <c r="H13" s="39">
        <v>0</v>
      </c>
    </row>
    <row r="14" spans="1:8" x14ac:dyDescent="0.2">
      <c r="A14" s="84"/>
      <c r="B14" s="84"/>
      <c r="C14" s="84"/>
      <c r="D14" s="85"/>
      <c r="E14" s="84"/>
      <c r="F14" s="86">
        <f>AVERAGE(F3:F13)</f>
        <v>0.36117550487910732</v>
      </c>
      <c r="G14" s="86">
        <f>AVERAGE(G3:G13)</f>
        <v>0.34777038208093181</v>
      </c>
      <c r="H14" s="87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8053-9C4F-6041-863F-8DEBF22B0C3D}">
  <dimension ref="A1:H14"/>
  <sheetViews>
    <sheetView zoomScale="120" zoomScaleNormal="120" workbookViewId="0">
      <selection activeCell="I17" sqref="I17"/>
    </sheetView>
  </sheetViews>
  <sheetFormatPr baseColWidth="10" defaultRowHeight="16" x14ac:dyDescent="0.2"/>
  <cols>
    <col min="1" max="1" width="12.83203125" bestFit="1" customWidth="1"/>
    <col min="2" max="2" width="37.83203125" bestFit="1" customWidth="1"/>
    <col min="3" max="3" width="26.1640625" bestFit="1" customWidth="1"/>
    <col min="4" max="4" width="24" bestFit="1" customWidth="1"/>
    <col min="5" max="5" width="25.33203125" bestFit="1" customWidth="1"/>
    <col min="6" max="6" width="17" bestFit="1" customWidth="1"/>
  </cols>
  <sheetData>
    <row r="1" spans="1:8" ht="17" thickBot="1" x14ac:dyDescent="0.25">
      <c r="A1" s="2" t="s">
        <v>0</v>
      </c>
      <c r="B1" s="2" t="s">
        <v>324</v>
      </c>
      <c r="C1" s="3" t="s">
        <v>1</v>
      </c>
      <c r="D1" s="30" t="s">
        <v>312</v>
      </c>
      <c r="E1" s="3" t="s">
        <v>235</v>
      </c>
      <c r="F1" s="10" t="s">
        <v>9</v>
      </c>
      <c r="G1" s="10" t="s">
        <v>10</v>
      </c>
      <c r="H1" s="3" t="s">
        <v>322</v>
      </c>
    </row>
    <row r="2" spans="1:8" ht="17" thickTop="1" x14ac:dyDescent="0.2">
      <c r="A2" s="38" t="str">
        <f>A1</f>
        <v>task_name</v>
      </c>
      <c r="B2" s="38" t="s">
        <v>326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0.5</v>
      </c>
      <c r="G2" s="53">
        <v>0.5</v>
      </c>
      <c r="H2" s="39">
        <v>1</v>
      </c>
    </row>
    <row r="3" spans="1:8" x14ac:dyDescent="0.2">
      <c r="A3" s="38" t="s">
        <v>61</v>
      </c>
      <c r="B3" s="38" t="s">
        <v>326</v>
      </c>
      <c r="C3" s="34" t="s">
        <v>19</v>
      </c>
      <c r="D3" s="18" t="s">
        <v>319</v>
      </c>
      <c r="E3" s="34" t="s">
        <v>248</v>
      </c>
      <c r="F3" s="54">
        <v>0.65693740471687101</v>
      </c>
      <c r="G3" s="54">
        <v>0.68208073893398302</v>
      </c>
      <c r="H3" s="39">
        <v>0</v>
      </c>
    </row>
    <row r="4" spans="1:8" x14ac:dyDescent="0.2">
      <c r="A4" s="38" t="s">
        <v>61</v>
      </c>
      <c r="B4" s="38" t="s">
        <v>326</v>
      </c>
      <c r="C4" s="34" t="s">
        <v>56</v>
      </c>
      <c r="D4" s="18" t="s">
        <v>310</v>
      </c>
      <c r="E4" s="34" t="s">
        <v>257</v>
      </c>
      <c r="F4" s="54">
        <v>0.65831235479147199</v>
      </c>
      <c r="G4" s="53">
        <v>0.68346967094123001</v>
      </c>
      <c r="H4" s="39">
        <v>0</v>
      </c>
    </row>
    <row r="5" spans="1:8" x14ac:dyDescent="0.2">
      <c r="A5" s="38" t="s">
        <v>61</v>
      </c>
      <c r="B5" s="38" t="s">
        <v>326</v>
      </c>
      <c r="C5" s="34" t="s">
        <v>32</v>
      </c>
      <c r="D5" s="18" t="s">
        <v>315</v>
      </c>
      <c r="E5" s="34" t="s">
        <v>251</v>
      </c>
      <c r="F5" s="54">
        <v>0.65838804078415203</v>
      </c>
      <c r="G5" s="54">
        <v>0.68349565015250702</v>
      </c>
      <c r="H5" s="39">
        <v>0</v>
      </c>
    </row>
    <row r="6" spans="1:8" x14ac:dyDescent="0.2">
      <c r="A6" s="38" t="s">
        <v>61</v>
      </c>
      <c r="B6" s="38" t="s">
        <v>326</v>
      </c>
      <c r="C6" s="34" t="s">
        <v>12</v>
      </c>
      <c r="D6" s="21" t="s">
        <v>317</v>
      </c>
      <c r="E6" s="34" t="s">
        <v>247</v>
      </c>
      <c r="F6" s="53">
        <v>0.66043166910492002</v>
      </c>
      <c r="G6" s="54">
        <v>0.68279464082118002</v>
      </c>
      <c r="H6" s="39">
        <v>0</v>
      </c>
    </row>
    <row r="7" spans="1:8" x14ac:dyDescent="0.2">
      <c r="A7" s="38" t="s">
        <v>61</v>
      </c>
      <c r="B7" s="38" t="s">
        <v>326</v>
      </c>
      <c r="C7" s="34" t="s">
        <v>24</v>
      </c>
      <c r="D7" s="18" t="s">
        <v>316</v>
      </c>
      <c r="E7" s="34" t="s">
        <v>249</v>
      </c>
      <c r="F7" s="54">
        <v>0.668837708052195</v>
      </c>
      <c r="G7" s="54">
        <v>0.69531876727911901</v>
      </c>
      <c r="H7" s="39">
        <v>0</v>
      </c>
    </row>
    <row r="8" spans="1:8" x14ac:dyDescent="0.2">
      <c r="A8" s="38" t="s">
        <v>61</v>
      </c>
      <c r="B8" s="38" t="s">
        <v>326</v>
      </c>
      <c r="C8" s="34" t="s">
        <v>28</v>
      </c>
      <c r="D8" s="18" t="s">
        <v>318</v>
      </c>
      <c r="E8" s="34" t="s">
        <v>250</v>
      </c>
      <c r="F8" s="54">
        <v>0.67095073120098803</v>
      </c>
      <c r="G8" s="54">
        <v>0.69777479592314495</v>
      </c>
      <c r="H8" s="39">
        <v>0</v>
      </c>
    </row>
    <row r="9" spans="1:8" x14ac:dyDescent="0.2">
      <c r="A9" s="38" t="s">
        <v>61</v>
      </c>
      <c r="B9" s="38" t="s">
        <v>326</v>
      </c>
      <c r="C9" s="34" t="s">
        <v>48</v>
      </c>
      <c r="D9" s="18" t="s">
        <v>311</v>
      </c>
      <c r="E9" s="34" t="s">
        <v>255</v>
      </c>
      <c r="F9" s="54">
        <v>0.71707070080305901</v>
      </c>
      <c r="G9" s="54">
        <v>0.74418657237458496</v>
      </c>
      <c r="H9" s="39">
        <v>0</v>
      </c>
    </row>
    <row r="10" spans="1:8" x14ac:dyDescent="0.2">
      <c r="A10" s="38" t="s">
        <v>61</v>
      </c>
      <c r="B10" s="38" t="s">
        <v>326</v>
      </c>
      <c r="C10" s="34" t="s">
        <v>36</v>
      </c>
      <c r="D10" s="18" t="s">
        <v>321</v>
      </c>
      <c r="E10" s="34" t="s">
        <v>252</v>
      </c>
      <c r="F10" s="54">
        <v>0.72374581361208501</v>
      </c>
      <c r="G10" s="53">
        <v>0.73700339313221797</v>
      </c>
      <c r="H10" s="39">
        <v>0</v>
      </c>
    </row>
    <row r="11" spans="1:8" x14ac:dyDescent="0.2">
      <c r="A11" s="38" t="s">
        <v>61</v>
      </c>
      <c r="B11" s="38" t="s">
        <v>326</v>
      </c>
      <c r="C11" s="34" t="s">
        <v>52</v>
      </c>
      <c r="D11" s="18" t="s">
        <v>314</v>
      </c>
      <c r="E11" s="34" t="s">
        <v>256</v>
      </c>
      <c r="F11" s="53">
        <v>0.73857218814408898</v>
      </c>
      <c r="G11" s="54">
        <v>0.75266747316967397</v>
      </c>
      <c r="H11" s="39">
        <v>0</v>
      </c>
    </row>
    <row r="12" spans="1:8" x14ac:dyDescent="0.2">
      <c r="A12" s="38" t="s">
        <v>61</v>
      </c>
      <c r="B12" s="38" t="s">
        <v>326</v>
      </c>
      <c r="C12" s="34" t="s">
        <v>40</v>
      </c>
      <c r="D12" s="18" t="s">
        <v>320</v>
      </c>
      <c r="E12" s="34" t="s">
        <v>253</v>
      </c>
      <c r="F12" s="54">
        <v>0.765450294311946</v>
      </c>
      <c r="G12" s="54">
        <v>0.74922278638737005</v>
      </c>
      <c r="H12" s="39">
        <v>0</v>
      </c>
    </row>
    <row r="13" spans="1:8" x14ac:dyDescent="0.2">
      <c r="A13" s="38" t="s">
        <v>61</v>
      </c>
      <c r="B13" s="38" t="s">
        <v>326</v>
      </c>
      <c r="C13" s="35" t="s">
        <v>43</v>
      </c>
      <c r="D13" s="23" t="s">
        <v>309</v>
      </c>
      <c r="E13" s="33" t="s">
        <v>254</v>
      </c>
      <c r="F13" s="55">
        <v>0.78742267907035202</v>
      </c>
      <c r="G13" s="56">
        <v>0.79550003135748604</v>
      </c>
      <c r="H13" s="39">
        <v>0</v>
      </c>
    </row>
    <row r="14" spans="1:8" x14ac:dyDescent="0.2">
      <c r="A14" s="84"/>
      <c r="B14" s="84"/>
      <c r="C14" s="84"/>
      <c r="D14" s="85"/>
      <c r="E14" s="84"/>
      <c r="F14" s="86">
        <f>AVERAGE(F3:F13)</f>
        <v>0.70055632587201178</v>
      </c>
      <c r="G14" s="86">
        <f>AVERAGE(G3:G13)</f>
        <v>0.71850132004295431</v>
      </c>
      <c r="H14" s="87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F406-7CF1-9147-8592-032FB1B0D550}">
  <dimension ref="A1:H14"/>
  <sheetViews>
    <sheetView zoomScale="120" zoomScaleNormal="120" workbookViewId="0">
      <selection activeCell="G16" sqref="G16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32.1640625" bestFit="1" customWidth="1"/>
    <col min="6" max="6" width="25.33203125" bestFit="1" customWidth="1"/>
    <col min="7" max="7" width="17" bestFit="1" customWidth="1"/>
  </cols>
  <sheetData>
    <row r="1" spans="1:8" ht="17" thickBot="1" x14ac:dyDescent="0.25">
      <c r="A1" s="2" t="s">
        <v>0</v>
      </c>
      <c r="B1" s="2" t="s">
        <v>324</v>
      </c>
      <c r="C1" s="3" t="s">
        <v>1</v>
      </c>
      <c r="D1" s="30" t="s">
        <v>312</v>
      </c>
      <c r="E1" s="3" t="s">
        <v>235</v>
      </c>
      <c r="F1" s="10" t="s">
        <v>9</v>
      </c>
      <c r="G1" s="10" t="s">
        <v>10</v>
      </c>
      <c r="H1" s="3" t="s">
        <v>322</v>
      </c>
    </row>
    <row r="2" spans="1:8" ht="17" thickTop="1" x14ac:dyDescent="0.2">
      <c r="A2" s="38" t="str">
        <f>A1</f>
        <v>task_name</v>
      </c>
      <c r="B2" t="s">
        <v>328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0.33329999999999999</v>
      </c>
      <c r="G2" s="53">
        <v>0.33329999999999999</v>
      </c>
      <c r="H2" s="39">
        <v>1</v>
      </c>
    </row>
    <row r="3" spans="1:8" x14ac:dyDescent="0.2">
      <c r="A3" s="38" t="s">
        <v>171</v>
      </c>
      <c r="B3" t="s">
        <v>328</v>
      </c>
      <c r="C3" s="34" t="s">
        <v>12</v>
      </c>
      <c r="D3" s="18" t="s">
        <v>317</v>
      </c>
      <c r="E3" s="34" t="s">
        <v>280</v>
      </c>
      <c r="F3" s="54">
        <v>0.42159730646124799</v>
      </c>
      <c r="G3" s="54">
        <v>0.42526365961053098</v>
      </c>
      <c r="H3" s="39">
        <v>0</v>
      </c>
    </row>
    <row r="4" spans="1:8" x14ac:dyDescent="0.2">
      <c r="A4" s="38" t="s">
        <v>171</v>
      </c>
      <c r="B4" t="s">
        <v>328</v>
      </c>
      <c r="C4" s="34" t="s">
        <v>28</v>
      </c>
      <c r="D4" s="18" t="s">
        <v>318</v>
      </c>
      <c r="E4" s="34" t="s">
        <v>283</v>
      </c>
      <c r="F4" s="54">
        <v>0.44101663244234801</v>
      </c>
      <c r="G4" s="54">
        <v>0.44761156565272198</v>
      </c>
      <c r="H4" s="39">
        <v>0</v>
      </c>
    </row>
    <row r="5" spans="1:8" x14ac:dyDescent="0.2">
      <c r="A5" s="38" t="s">
        <v>171</v>
      </c>
      <c r="B5" t="s">
        <v>328</v>
      </c>
      <c r="C5" s="34" t="s">
        <v>24</v>
      </c>
      <c r="D5" s="18" t="s">
        <v>316</v>
      </c>
      <c r="E5" s="34" t="s">
        <v>282</v>
      </c>
      <c r="F5" s="53">
        <v>0.44857915355944</v>
      </c>
      <c r="G5" s="54">
        <v>0.450440543688789</v>
      </c>
      <c r="H5" s="39">
        <v>0</v>
      </c>
    </row>
    <row r="6" spans="1:8" x14ac:dyDescent="0.2">
      <c r="A6" s="38" t="s">
        <v>171</v>
      </c>
      <c r="B6" t="s">
        <v>328</v>
      </c>
      <c r="C6" s="34" t="s">
        <v>32</v>
      </c>
      <c r="D6" s="21" t="s">
        <v>315</v>
      </c>
      <c r="E6" s="34" t="s">
        <v>284</v>
      </c>
      <c r="F6" s="54">
        <v>0.45696840088203899</v>
      </c>
      <c r="G6" s="54">
        <v>0.46326218196558799</v>
      </c>
      <c r="H6" s="39">
        <v>0</v>
      </c>
    </row>
    <row r="7" spans="1:8" x14ac:dyDescent="0.2">
      <c r="A7" s="38" t="s">
        <v>171</v>
      </c>
      <c r="B7" t="s">
        <v>328</v>
      </c>
      <c r="C7" s="34" t="s">
        <v>19</v>
      </c>
      <c r="D7" s="18" t="s">
        <v>319</v>
      </c>
      <c r="E7" s="34" t="s">
        <v>281</v>
      </c>
      <c r="F7" s="54">
        <v>0.45859312840569499</v>
      </c>
      <c r="G7" s="54">
        <v>0.46739831685142902</v>
      </c>
      <c r="H7" s="39">
        <v>0</v>
      </c>
    </row>
    <row r="8" spans="1:8" x14ac:dyDescent="0.2">
      <c r="A8" s="38" t="s">
        <v>171</v>
      </c>
      <c r="B8" t="s">
        <v>328</v>
      </c>
      <c r="C8" s="34" t="s">
        <v>43</v>
      </c>
      <c r="D8" s="18" t="s">
        <v>309</v>
      </c>
      <c r="E8" s="34" t="s">
        <v>287</v>
      </c>
      <c r="F8" s="54">
        <v>0.47583234152914999</v>
      </c>
      <c r="G8" s="54">
        <v>0.481755384813499</v>
      </c>
      <c r="H8" s="39">
        <v>0</v>
      </c>
    </row>
    <row r="9" spans="1:8" x14ac:dyDescent="0.2">
      <c r="A9" s="38" t="s">
        <v>171</v>
      </c>
      <c r="B9" t="s">
        <v>328</v>
      </c>
      <c r="C9" s="34" t="s">
        <v>48</v>
      </c>
      <c r="D9" s="18" t="s">
        <v>311</v>
      </c>
      <c r="E9" s="34" t="s">
        <v>288</v>
      </c>
      <c r="F9" s="54">
        <v>0.49953825878000302</v>
      </c>
      <c r="G9" s="53">
        <v>0.50641568921743896</v>
      </c>
      <c r="H9" s="39">
        <v>0</v>
      </c>
    </row>
    <row r="10" spans="1:8" x14ac:dyDescent="0.2">
      <c r="A10" s="38" t="s">
        <v>171</v>
      </c>
      <c r="B10" t="s">
        <v>328</v>
      </c>
      <c r="C10" s="34" t="s">
        <v>40</v>
      </c>
      <c r="D10" s="18" t="s">
        <v>320</v>
      </c>
      <c r="E10" s="34" t="s">
        <v>286</v>
      </c>
      <c r="F10" s="54">
        <v>0.50391032853011997</v>
      </c>
      <c r="G10" s="54">
        <v>0.49358594234547298</v>
      </c>
      <c r="H10" s="39">
        <v>0</v>
      </c>
    </row>
    <row r="11" spans="1:8" x14ac:dyDescent="0.2">
      <c r="A11" s="38" t="s">
        <v>171</v>
      </c>
      <c r="B11" t="s">
        <v>328</v>
      </c>
      <c r="C11" s="34" t="s">
        <v>36</v>
      </c>
      <c r="D11" s="18" t="s">
        <v>321</v>
      </c>
      <c r="E11" s="34" t="s">
        <v>285</v>
      </c>
      <c r="F11" s="53">
        <v>0.50573615943149597</v>
      </c>
      <c r="G11" s="53">
        <v>0.50061384362684902</v>
      </c>
      <c r="H11" s="39">
        <v>0</v>
      </c>
    </row>
    <row r="12" spans="1:8" x14ac:dyDescent="0.2">
      <c r="A12" s="38" t="s">
        <v>171</v>
      </c>
      <c r="B12" t="s">
        <v>328</v>
      </c>
      <c r="C12" s="34" t="s">
        <v>52</v>
      </c>
      <c r="D12" s="18" t="s">
        <v>314</v>
      </c>
      <c r="E12" s="34" t="s">
        <v>289</v>
      </c>
      <c r="F12" s="54">
        <v>0.51436119665508895</v>
      </c>
      <c r="G12" s="54">
        <v>0.51081080852746097</v>
      </c>
      <c r="H12" s="39">
        <v>0</v>
      </c>
    </row>
    <row r="13" spans="1:8" x14ac:dyDescent="0.2">
      <c r="A13" s="38" t="s">
        <v>171</v>
      </c>
      <c r="B13" t="s">
        <v>328</v>
      </c>
      <c r="C13" s="35" t="s">
        <v>56</v>
      </c>
      <c r="D13" s="23" t="s">
        <v>310</v>
      </c>
      <c r="E13" s="33" t="s">
        <v>290</v>
      </c>
      <c r="F13" s="36">
        <v>0.52408969936051997</v>
      </c>
      <c r="G13" s="56">
        <v>0.51867425524064803</v>
      </c>
      <c r="H13" s="39">
        <v>0</v>
      </c>
    </row>
    <row r="14" spans="1:8" x14ac:dyDescent="0.2">
      <c r="A14" s="84"/>
      <c r="B14" s="84"/>
      <c r="C14" s="84"/>
      <c r="D14" s="85"/>
      <c r="E14" s="84"/>
      <c r="F14" s="86">
        <f>AVERAGE(F3:F13)</f>
        <v>0.47729296418519523</v>
      </c>
      <c r="G14" s="86">
        <f>AVERAGE(G3:G13)</f>
        <v>0.4787120174127662</v>
      </c>
      <c r="H14" s="87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A68B-7F28-0B42-81B4-F936174C64E3}">
  <dimension ref="A1:H14"/>
  <sheetViews>
    <sheetView zoomScale="120" zoomScaleNormal="120" workbookViewId="0">
      <selection activeCell="I16" sqref="I16"/>
    </sheetView>
  </sheetViews>
  <sheetFormatPr baseColWidth="10" defaultRowHeight="16" x14ac:dyDescent="0.2"/>
  <cols>
    <col min="1" max="1" width="13.83203125" bestFit="1" customWidth="1"/>
    <col min="2" max="2" width="31.83203125" bestFit="1" customWidth="1"/>
    <col min="3" max="3" width="14.1640625" customWidth="1"/>
    <col min="4" max="4" width="29" bestFit="1" customWidth="1"/>
    <col min="5" max="5" width="24.83203125" customWidth="1"/>
    <col min="6" max="6" width="16.83203125" customWidth="1"/>
  </cols>
  <sheetData>
    <row r="1" spans="1:8" ht="17" thickBot="1" x14ac:dyDescent="0.25">
      <c r="A1" s="50" t="s">
        <v>0</v>
      </c>
      <c r="B1" s="50" t="s">
        <v>324</v>
      </c>
      <c r="C1" s="51" t="s">
        <v>1</v>
      </c>
      <c r="D1" s="30" t="s">
        <v>312</v>
      </c>
      <c r="E1" s="51" t="s">
        <v>235</v>
      </c>
      <c r="F1" s="52" t="s">
        <v>9</v>
      </c>
      <c r="G1" s="52" t="s">
        <v>10</v>
      </c>
      <c r="H1" s="51" t="s">
        <v>322</v>
      </c>
    </row>
    <row r="2" spans="1:8" ht="17" thickTop="1" x14ac:dyDescent="0.2">
      <c r="A2" s="38" t="str">
        <f>A1</f>
        <v>task_name</v>
      </c>
      <c r="B2" t="s">
        <v>323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0.5</v>
      </c>
      <c r="G2" s="53">
        <v>0.5</v>
      </c>
      <c r="H2" s="39">
        <v>1</v>
      </c>
    </row>
    <row r="3" spans="1:8" x14ac:dyDescent="0.2">
      <c r="A3" s="38" t="s">
        <v>94</v>
      </c>
      <c r="B3" t="s">
        <v>323</v>
      </c>
      <c r="C3" s="34" t="s">
        <v>56</v>
      </c>
      <c r="D3" s="18" t="s">
        <v>310</v>
      </c>
      <c r="E3" s="34" t="s">
        <v>268</v>
      </c>
      <c r="F3" s="53">
        <v>0.5</v>
      </c>
      <c r="G3" s="54">
        <v>0.41270394467837801</v>
      </c>
      <c r="H3" s="39">
        <v>0</v>
      </c>
    </row>
    <row r="4" spans="1:8" x14ac:dyDescent="0.2">
      <c r="A4" s="38" t="s">
        <v>94</v>
      </c>
      <c r="B4" t="s">
        <v>323</v>
      </c>
      <c r="C4" s="34" t="s">
        <v>48</v>
      </c>
      <c r="D4" s="18" t="s">
        <v>311</v>
      </c>
      <c r="E4" s="34" t="s">
        <v>266</v>
      </c>
      <c r="F4" s="54">
        <v>0.52132499653409303</v>
      </c>
      <c r="G4" s="54">
        <v>0.51289203208991596</v>
      </c>
      <c r="H4" s="39">
        <v>0</v>
      </c>
    </row>
    <row r="5" spans="1:8" x14ac:dyDescent="0.2">
      <c r="A5" s="38" t="s">
        <v>94</v>
      </c>
      <c r="B5" t="s">
        <v>323</v>
      </c>
      <c r="C5" s="34" t="s">
        <v>12</v>
      </c>
      <c r="D5" s="18" t="s">
        <v>317</v>
      </c>
      <c r="E5" s="34" t="s">
        <v>258</v>
      </c>
      <c r="F5" s="54">
        <v>0.54934216999991203</v>
      </c>
      <c r="G5" s="54">
        <v>0.54146896120195198</v>
      </c>
      <c r="H5" s="39">
        <v>0</v>
      </c>
    </row>
    <row r="6" spans="1:8" x14ac:dyDescent="0.2">
      <c r="A6" s="38" t="s">
        <v>94</v>
      </c>
      <c r="B6" t="s">
        <v>323</v>
      </c>
      <c r="C6" s="34" t="s">
        <v>52</v>
      </c>
      <c r="D6" s="21" t="s">
        <v>314</v>
      </c>
      <c r="E6" s="34" t="s">
        <v>267</v>
      </c>
      <c r="F6" s="54">
        <v>0.554791363897845</v>
      </c>
      <c r="G6" s="54">
        <v>0.55944030191242999</v>
      </c>
      <c r="H6" s="39">
        <v>0</v>
      </c>
    </row>
    <row r="7" spans="1:8" x14ac:dyDescent="0.2">
      <c r="A7" s="38" t="s">
        <v>94</v>
      </c>
      <c r="B7" t="s">
        <v>323</v>
      </c>
      <c r="C7" s="34" t="s">
        <v>24</v>
      </c>
      <c r="D7" s="18" t="s">
        <v>316</v>
      </c>
      <c r="E7" s="34" t="s">
        <v>260</v>
      </c>
      <c r="F7" s="54">
        <v>0.55833869403457703</v>
      </c>
      <c r="G7" s="54">
        <v>0.55399818557025704</v>
      </c>
      <c r="H7" s="39">
        <v>0</v>
      </c>
    </row>
    <row r="8" spans="1:8" x14ac:dyDescent="0.2">
      <c r="A8" s="38" t="s">
        <v>94</v>
      </c>
      <c r="B8" t="s">
        <v>323</v>
      </c>
      <c r="C8" s="34" t="s">
        <v>36</v>
      </c>
      <c r="D8" s="18" t="s">
        <v>321</v>
      </c>
      <c r="E8" s="34" t="s">
        <v>263</v>
      </c>
      <c r="F8" s="54">
        <v>0.55836682962401596</v>
      </c>
      <c r="G8" s="54">
        <v>0.56276213382568396</v>
      </c>
      <c r="H8" s="39">
        <v>0</v>
      </c>
    </row>
    <row r="9" spans="1:8" x14ac:dyDescent="0.2">
      <c r="A9" s="38" t="s">
        <v>94</v>
      </c>
      <c r="B9" t="s">
        <v>323</v>
      </c>
      <c r="C9" s="34" t="s">
        <v>28</v>
      </c>
      <c r="D9" s="18" t="s">
        <v>318</v>
      </c>
      <c r="E9" s="34" t="s">
        <v>261</v>
      </c>
      <c r="F9" s="53">
        <v>0.56140121808677201</v>
      </c>
      <c r="G9" s="54">
        <v>0.56025325680567994</v>
      </c>
      <c r="H9" s="39">
        <v>0</v>
      </c>
    </row>
    <row r="10" spans="1:8" x14ac:dyDescent="0.2">
      <c r="A10" s="38" t="s">
        <v>94</v>
      </c>
      <c r="B10" t="s">
        <v>323</v>
      </c>
      <c r="C10" s="34" t="s">
        <v>19</v>
      </c>
      <c r="D10" s="18" t="s">
        <v>319</v>
      </c>
      <c r="E10" s="34" t="s">
        <v>259</v>
      </c>
      <c r="F10" s="54">
        <v>0.57259215625580095</v>
      </c>
      <c r="G10" s="53">
        <v>0.57526024921223495</v>
      </c>
      <c r="H10" s="39">
        <v>0</v>
      </c>
    </row>
    <row r="11" spans="1:8" x14ac:dyDescent="0.2">
      <c r="A11" s="38" t="s">
        <v>94</v>
      </c>
      <c r="B11" t="s">
        <v>323</v>
      </c>
      <c r="C11" s="34" t="s">
        <v>32</v>
      </c>
      <c r="D11" s="18" t="s">
        <v>315</v>
      </c>
      <c r="E11" s="34" t="s">
        <v>262</v>
      </c>
      <c r="F11" s="54">
        <v>0.57620999965739295</v>
      </c>
      <c r="G11" s="54">
        <v>0.57708392278777598</v>
      </c>
      <c r="H11" s="39">
        <v>0</v>
      </c>
    </row>
    <row r="12" spans="1:8" x14ac:dyDescent="0.2">
      <c r="A12" s="38" t="s">
        <v>94</v>
      </c>
      <c r="B12" t="s">
        <v>323</v>
      </c>
      <c r="C12" s="34" t="s">
        <v>43</v>
      </c>
      <c r="D12" s="18" t="s">
        <v>309</v>
      </c>
      <c r="E12" s="34" t="s">
        <v>265</v>
      </c>
      <c r="F12" s="54">
        <v>0.60023140650857298</v>
      </c>
      <c r="G12" s="54">
        <v>0.55454494330680404</v>
      </c>
      <c r="H12" s="39">
        <v>0</v>
      </c>
    </row>
    <row r="13" spans="1:8" x14ac:dyDescent="0.2">
      <c r="A13" s="38" t="s">
        <v>94</v>
      </c>
      <c r="B13" t="s">
        <v>323</v>
      </c>
      <c r="C13" s="35" t="s">
        <v>40</v>
      </c>
      <c r="D13" s="23" t="s">
        <v>320</v>
      </c>
      <c r="E13" s="33" t="s">
        <v>264</v>
      </c>
      <c r="F13" s="55">
        <v>0.61577722349836606</v>
      </c>
      <c r="G13" s="56">
        <v>0.58346027103902198</v>
      </c>
      <c r="H13" s="39">
        <v>0</v>
      </c>
    </row>
    <row r="14" spans="1:8" x14ac:dyDescent="0.2">
      <c r="A14" s="84"/>
      <c r="B14" s="84"/>
      <c r="C14" s="84"/>
      <c r="D14" s="85"/>
      <c r="E14" s="84"/>
      <c r="F14" s="86">
        <f>AVERAGE(F3:F13)</f>
        <v>0.56076145982703163</v>
      </c>
      <c r="G14" s="86">
        <f>AVERAGE(G3:G13)</f>
        <v>0.54489710931183033</v>
      </c>
      <c r="H14" s="87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6070-B6D6-C345-8694-388486D68525}">
  <dimension ref="A1:H14"/>
  <sheetViews>
    <sheetView zoomScale="120" zoomScaleNormal="120" workbookViewId="0">
      <selection activeCell="M14" sqref="M14"/>
    </sheetView>
  </sheetViews>
  <sheetFormatPr baseColWidth="10" defaultRowHeight="16" x14ac:dyDescent="0.2"/>
  <cols>
    <col min="1" max="1" width="12.83203125" bestFit="1" customWidth="1"/>
    <col min="2" max="2" width="30" bestFit="1" customWidth="1"/>
    <col min="3" max="3" width="14.33203125" bestFit="1" customWidth="1"/>
    <col min="4" max="4" width="26.1640625" bestFit="1" customWidth="1"/>
    <col min="5" max="5" width="27.5" bestFit="1" customWidth="1"/>
    <col min="6" max="6" width="25.33203125" bestFit="1" customWidth="1"/>
    <col min="7" max="7" width="17" bestFit="1" customWidth="1"/>
  </cols>
  <sheetData>
    <row r="1" spans="1:8" ht="17" thickBot="1" x14ac:dyDescent="0.25">
      <c r="A1" s="50" t="s">
        <v>0</v>
      </c>
      <c r="B1" s="50" t="s">
        <v>324</v>
      </c>
      <c r="C1" s="51" t="s">
        <v>1</v>
      </c>
      <c r="D1" s="30" t="s">
        <v>312</v>
      </c>
      <c r="E1" s="51" t="s">
        <v>235</v>
      </c>
      <c r="F1" s="52" t="s">
        <v>9</v>
      </c>
      <c r="G1" s="52" t="s">
        <v>10</v>
      </c>
      <c r="H1" s="51" t="s">
        <v>322</v>
      </c>
    </row>
    <row r="2" spans="1:8" ht="17" thickTop="1" x14ac:dyDescent="0.2">
      <c r="A2" s="38" t="str">
        <f>A1</f>
        <v>task_name</v>
      </c>
      <c r="B2" s="38" t="s">
        <v>329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0.5</v>
      </c>
      <c r="G2" s="53">
        <v>0.5</v>
      </c>
      <c r="H2" s="39">
        <v>1</v>
      </c>
    </row>
    <row r="3" spans="1:8" x14ac:dyDescent="0.2">
      <c r="A3" s="38" t="s">
        <v>203</v>
      </c>
      <c r="B3" s="38" t="s">
        <v>329</v>
      </c>
      <c r="C3" s="34" t="s">
        <v>12</v>
      </c>
      <c r="D3" s="18" t="s">
        <v>317</v>
      </c>
      <c r="E3" s="34" t="s">
        <v>291</v>
      </c>
      <c r="F3" s="53">
        <v>0.63313510584315802</v>
      </c>
      <c r="G3" s="54">
        <v>0.63990941585031402</v>
      </c>
      <c r="H3" s="39">
        <v>0</v>
      </c>
    </row>
    <row r="4" spans="1:8" x14ac:dyDescent="0.2">
      <c r="A4" s="38" t="s">
        <v>203</v>
      </c>
      <c r="B4" s="38" t="s">
        <v>329</v>
      </c>
      <c r="C4" s="34" t="s">
        <v>24</v>
      </c>
      <c r="D4" s="18" t="s">
        <v>316</v>
      </c>
      <c r="E4" s="34" t="s">
        <v>293</v>
      </c>
      <c r="F4" s="54">
        <v>0.640063799490175</v>
      </c>
      <c r="G4" s="54">
        <v>0.64719294454542797</v>
      </c>
      <c r="H4" s="39">
        <v>0</v>
      </c>
    </row>
    <row r="5" spans="1:8" x14ac:dyDescent="0.2">
      <c r="A5" s="38" t="s">
        <v>203</v>
      </c>
      <c r="B5" s="38" t="s">
        <v>329</v>
      </c>
      <c r="C5" s="34" t="s">
        <v>28</v>
      </c>
      <c r="D5" s="18" t="s">
        <v>318</v>
      </c>
      <c r="E5" s="34" t="s">
        <v>294</v>
      </c>
      <c r="F5" s="54">
        <v>0.64803506258851495</v>
      </c>
      <c r="G5" s="54">
        <v>0.656637989872774</v>
      </c>
      <c r="H5" s="39">
        <v>0</v>
      </c>
    </row>
    <row r="6" spans="1:8" x14ac:dyDescent="0.2">
      <c r="A6" s="38" t="s">
        <v>203</v>
      </c>
      <c r="B6" s="38" t="s">
        <v>329</v>
      </c>
      <c r="C6" s="34" t="s">
        <v>19</v>
      </c>
      <c r="D6" s="21" t="s">
        <v>319</v>
      </c>
      <c r="E6" s="34" t="s">
        <v>292</v>
      </c>
      <c r="F6" s="54">
        <v>0.65776007324708796</v>
      </c>
      <c r="G6" s="54">
        <v>0.66833036712474303</v>
      </c>
      <c r="H6" s="39">
        <v>0</v>
      </c>
    </row>
    <row r="7" spans="1:8" x14ac:dyDescent="0.2">
      <c r="A7" s="38" t="s">
        <v>203</v>
      </c>
      <c r="B7" s="38" t="s">
        <v>329</v>
      </c>
      <c r="C7" s="34" t="s">
        <v>32</v>
      </c>
      <c r="D7" s="18" t="s">
        <v>315</v>
      </c>
      <c r="E7" s="34" t="s">
        <v>295</v>
      </c>
      <c r="F7" s="54">
        <v>0.66464310027152795</v>
      </c>
      <c r="G7" s="54">
        <v>0.67586051335275898</v>
      </c>
      <c r="H7" s="39">
        <v>0</v>
      </c>
    </row>
    <row r="8" spans="1:8" x14ac:dyDescent="0.2">
      <c r="A8" s="38" t="s">
        <v>203</v>
      </c>
      <c r="B8" s="38" t="s">
        <v>329</v>
      </c>
      <c r="C8" s="34" t="s">
        <v>56</v>
      </c>
      <c r="D8" s="18" t="s">
        <v>310</v>
      </c>
      <c r="E8" s="34" t="s">
        <v>301</v>
      </c>
      <c r="F8" s="54">
        <v>0.69674609473054705</v>
      </c>
      <c r="G8" s="54">
        <v>0.70886430899040498</v>
      </c>
      <c r="H8" s="39">
        <v>0</v>
      </c>
    </row>
    <row r="9" spans="1:8" x14ac:dyDescent="0.2">
      <c r="A9" s="38" t="s">
        <v>203</v>
      </c>
      <c r="B9" s="38" t="s">
        <v>329</v>
      </c>
      <c r="C9" s="34" t="s">
        <v>48</v>
      </c>
      <c r="D9" s="18" t="s">
        <v>311</v>
      </c>
      <c r="E9" s="34" t="s">
        <v>299</v>
      </c>
      <c r="F9" s="54">
        <v>0.71604612815559598</v>
      </c>
      <c r="G9" s="54">
        <v>0.73153082234668898</v>
      </c>
      <c r="H9" s="39">
        <v>0</v>
      </c>
    </row>
    <row r="10" spans="1:8" x14ac:dyDescent="0.2">
      <c r="A10" s="38" t="s">
        <v>203</v>
      </c>
      <c r="B10" s="38" t="s">
        <v>329</v>
      </c>
      <c r="C10" s="34" t="s">
        <v>43</v>
      </c>
      <c r="D10" s="18" t="s">
        <v>309</v>
      </c>
      <c r="E10" s="34" t="s">
        <v>298</v>
      </c>
      <c r="F10" s="54">
        <v>0.72348343846419605</v>
      </c>
      <c r="G10" s="54">
        <v>0.73490380900427299</v>
      </c>
      <c r="H10" s="39">
        <v>0</v>
      </c>
    </row>
    <row r="11" spans="1:8" x14ac:dyDescent="0.2">
      <c r="A11" s="38" t="s">
        <v>203</v>
      </c>
      <c r="B11" s="38" t="s">
        <v>329</v>
      </c>
      <c r="C11" s="34" t="s">
        <v>36</v>
      </c>
      <c r="D11" s="18" t="s">
        <v>321</v>
      </c>
      <c r="E11" s="34" t="s">
        <v>296</v>
      </c>
      <c r="F11" s="54">
        <v>0.72519682376365902</v>
      </c>
      <c r="G11" s="53">
        <v>0.73156943084124704</v>
      </c>
      <c r="H11" s="39">
        <v>0</v>
      </c>
    </row>
    <row r="12" spans="1:8" x14ac:dyDescent="0.2">
      <c r="A12" s="38" t="s">
        <v>203</v>
      </c>
      <c r="B12" s="38" t="s">
        <v>329</v>
      </c>
      <c r="C12" s="34" t="s">
        <v>52</v>
      </c>
      <c r="D12" s="18" t="s">
        <v>314</v>
      </c>
      <c r="E12" s="34" t="s">
        <v>300</v>
      </c>
      <c r="F12" s="54">
        <v>0.73493248247160403</v>
      </c>
      <c r="G12" s="54">
        <v>0.74274351422679996</v>
      </c>
      <c r="H12" s="39">
        <v>0</v>
      </c>
    </row>
    <row r="13" spans="1:8" x14ac:dyDescent="0.2">
      <c r="A13" s="38" t="s">
        <v>203</v>
      </c>
      <c r="B13" s="38" t="s">
        <v>329</v>
      </c>
      <c r="C13" s="35" t="s">
        <v>40</v>
      </c>
      <c r="D13" s="23" t="s">
        <v>320</v>
      </c>
      <c r="E13" s="33" t="s">
        <v>297</v>
      </c>
      <c r="F13" s="36">
        <v>0.74775796701111596</v>
      </c>
      <c r="G13" s="56">
        <v>0.74442445336057095</v>
      </c>
      <c r="H13" s="39">
        <v>0</v>
      </c>
    </row>
    <row r="14" spans="1:8" x14ac:dyDescent="0.2">
      <c r="A14" s="84"/>
      <c r="B14" s="84"/>
      <c r="C14" s="84"/>
      <c r="D14" s="85"/>
      <c r="E14" s="84"/>
      <c r="F14" s="86">
        <f>AVERAGE(F3:F13)</f>
        <v>0.68980000691247101</v>
      </c>
      <c r="G14" s="86">
        <f>AVERAGE(G3:G13)</f>
        <v>0.69836068813781849</v>
      </c>
      <c r="H14" s="87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82D6-B7FF-5345-990B-EBE07DF0AFC3}">
  <dimension ref="A1:J7"/>
  <sheetViews>
    <sheetView tabSelected="1" zoomScale="110" zoomScaleNormal="110" workbookViewId="0">
      <selection activeCell="G15" sqref="G15"/>
    </sheetView>
  </sheetViews>
  <sheetFormatPr baseColWidth="10" defaultRowHeight="16" x14ac:dyDescent="0.2"/>
  <cols>
    <col min="1" max="1" width="16.33203125" bestFit="1" customWidth="1"/>
    <col min="2" max="2" width="37.83203125" bestFit="1" customWidth="1"/>
    <col min="3" max="3" width="14.1640625" bestFit="1" customWidth="1"/>
    <col min="4" max="4" width="26.1640625" bestFit="1" customWidth="1"/>
    <col min="5" max="5" width="29" bestFit="1" customWidth="1"/>
    <col min="6" max="6" width="24.83203125" customWidth="1"/>
    <col min="7" max="7" width="16.83203125" customWidth="1"/>
    <col min="10" max="10" width="26" bestFit="1" customWidth="1"/>
  </cols>
  <sheetData>
    <row r="1" spans="1:10" ht="17" thickBot="1" x14ac:dyDescent="0.25">
      <c r="A1" s="74" t="s">
        <v>0</v>
      </c>
      <c r="B1" s="51" t="s">
        <v>324</v>
      </c>
      <c r="C1" s="51" t="s">
        <v>1</v>
      </c>
      <c r="D1" s="51" t="s">
        <v>312</v>
      </c>
      <c r="E1" s="51" t="s">
        <v>235</v>
      </c>
      <c r="F1" s="51" t="s">
        <v>330</v>
      </c>
      <c r="G1" s="75" t="s">
        <v>9</v>
      </c>
      <c r="H1" s="75" t="s">
        <v>10</v>
      </c>
      <c r="I1" s="51" t="s">
        <v>313</v>
      </c>
      <c r="J1" s="51" t="s">
        <v>337</v>
      </c>
    </row>
    <row r="2" spans="1:10" ht="35" thickTop="1" x14ac:dyDescent="0.2">
      <c r="A2" s="57" t="s">
        <v>11</v>
      </c>
      <c r="B2" s="58" t="s">
        <v>331</v>
      </c>
      <c r="C2" s="59" t="s">
        <v>36</v>
      </c>
      <c r="D2" s="59" t="s">
        <v>321</v>
      </c>
      <c r="E2" s="57" t="s">
        <v>241</v>
      </c>
      <c r="F2" s="76" t="str">
        <f>Table16[[#This Row],[task_name_better]] &amp; CHAR(10) &amp; Table16[[#This Row],[model_name_better]]</f>
        <v>Dáil Speakers
Logistic Regression</v>
      </c>
      <c r="G2" s="60">
        <v>0.27210886725816702</v>
      </c>
      <c r="H2" s="61">
        <v>0.25396344765783402</v>
      </c>
      <c r="I2" s="80">
        <v>0.25</v>
      </c>
      <c r="J2" s="13">
        <f>(Table16[[#This Row],[balanced_accuracy_mean]]-Table16[[#This Row],[Random Baseline]]) / Table16[[#This Row],[Random Baseline]]</f>
        <v>8.8435469032668079E-2</v>
      </c>
    </row>
    <row r="3" spans="1:10" ht="34" x14ac:dyDescent="0.2">
      <c r="A3" s="57" t="s">
        <v>133</v>
      </c>
      <c r="B3" s="62" t="s">
        <v>334</v>
      </c>
      <c r="C3" s="63" t="s">
        <v>52</v>
      </c>
      <c r="D3" s="59" t="s">
        <v>314</v>
      </c>
      <c r="E3" s="57" t="s">
        <v>278</v>
      </c>
      <c r="F3" s="77" t="str">
        <f>Table16[[#This Row],[task_name_better]] &amp; CHAR(10) &amp; Table16[[#This Row],[model_name_better]]</f>
        <v>Four Provinces
SVM (Linear)</v>
      </c>
      <c r="G3" s="64">
        <v>0.39387690904640299</v>
      </c>
      <c r="H3" s="71">
        <v>0.38084229333062602</v>
      </c>
      <c r="I3" s="80">
        <v>0.25</v>
      </c>
      <c r="J3" s="13">
        <f>(Table16[[#This Row],[balanced_accuracy_mean]]-Table16[[#This Row],[Random Baseline]]) / Table16[[#This Row],[Random Baseline]]</f>
        <v>0.57550763618561196</v>
      </c>
    </row>
    <row r="4" spans="1:10" ht="34" x14ac:dyDescent="0.2">
      <c r="A4" s="66" t="s">
        <v>171</v>
      </c>
      <c r="B4" s="67" t="s">
        <v>335</v>
      </c>
      <c r="C4" s="68" t="s">
        <v>56</v>
      </c>
      <c r="D4" s="69" t="s">
        <v>310</v>
      </c>
      <c r="E4" s="66" t="s">
        <v>290</v>
      </c>
      <c r="F4" s="78" t="str">
        <f>Table16[[#This Row],[task_name_better]] &amp; CHAR(10) &amp; Table16[[#This Row],[model_name_better]]</f>
        <v>Ulster, Leinster, and Rest
SVM (RBF Kernel)</v>
      </c>
      <c r="G4" s="70">
        <v>0.52408969936051997</v>
      </c>
      <c r="H4" s="79">
        <v>0.51867425524064803</v>
      </c>
      <c r="I4" s="80">
        <v>0.33329999999999999</v>
      </c>
      <c r="J4" s="13">
        <f>(Table16[[#This Row],[balanced_accuracy_mean]]-Table16[[#This Row],[Random Baseline]]) / Table16[[#This Row],[Random Baseline]]</f>
        <v>0.57242634071563159</v>
      </c>
    </row>
    <row r="5" spans="1:10" ht="51" x14ac:dyDescent="0.2">
      <c r="A5" s="57" t="s">
        <v>94</v>
      </c>
      <c r="B5" s="62" t="s">
        <v>333</v>
      </c>
      <c r="C5" s="63" t="s">
        <v>40</v>
      </c>
      <c r="D5" s="59" t="s">
        <v>320</v>
      </c>
      <c r="E5" s="57" t="s">
        <v>264</v>
      </c>
      <c r="F5" s="77" t="str">
        <f>Table16[[#This Row],[task_name_better]] &amp; CHAR(10) &amp; Table16[[#This Row],[model_name_better]]</f>
        <v>Leinster vs Rest
Logistic Regression (Weighted)</v>
      </c>
      <c r="G5" s="73">
        <v>0.61580000000000001</v>
      </c>
      <c r="H5" s="71">
        <v>0.58350000000000002</v>
      </c>
      <c r="I5" s="80">
        <v>0.5</v>
      </c>
      <c r="J5" s="13">
        <f>(Table16[[#This Row],[balanced_accuracy_mean]]-Table16[[#This Row],[Random Baseline]]) / Table16[[#This Row],[Random Baseline]]</f>
        <v>0.23160000000000003</v>
      </c>
    </row>
    <row r="6" spans="1:10" ht="51" x14ac:dyDescent="0.2">
      <c r="A6" s="57" t="s">
        <v>203</v>
      </c>
      <c r="B6" s="72" t="s">
        <v>336</v>
      </c>
      <c r="C6" s="63" t="s">
        <v>40</v>
      </c>
      <c r="D6" s="59" t="s">
        <v>320</v>
      </c>
      <c r="E6" s="57" t="s">
        <v>297</v>
      </c>
      <c r="F6" s="77" t="str">
        <f>Table16[[#This Row],[task_name_better]] &amp; CHAR(10) &amp; Table16[[#This Row],[model_name_better]]</f>
        <v>Ulster vs Rest
Logistic Regression (Weighted)</v>
      </c>
      <c r="G6" s="73">
        <v>0.74775796701111596</v>
      </c>
      <c r="H6" s="65">
        <v>0.74442445336057095</v>
      </c>
      <c r="I6" s="80">
        <v>0.5</v>
      </c>
      <c r="J6" s="13">
        <f>(Table16[[#This Row],[balanced_accuracy_mean]]-Table16[[#This Row],[Random Baseline]]) / Table16[[#This Row],[Random Baseline]]</f>
        <v>0.49551593402223193</v>
      </c>
    </row>
    <row r="7" spans="1:10" ht="34" x14ac:dyDescent="0.2">
      <c r="A7" s="57" t="s">
        <v>61</v>
      </c>
      <c r="B7" s="62" t="s">
        <v>332</v>
      </c>
      <c r="C7" s="63" t="s">
        <v>43</v>
      </c>
      <c r="D7" s="59" t="s">
        <v>309</v>
      </c>
      <c r="E7" s="57" t="s">
        <v>254</v>
      </c>
      <c r="F7" s="77" t="str">
        <f>Table16[[#This Row],[task_name_better]] &amp; CHAR(10) &amp; Table16[[#This Row],[model_name_better]]</f>
        <v>Dáil vs Northern Ireland
Naive Bayes</v>
      </c>
      <c r="G7" s="64">
        <v>0.78742267907035202</v>
      </c>
      <c r="H7" s="65">
        <v>0.79550003135748604</v>
      </c>
      <c r="I7" s="80">
        <v>0.5</v>
      </c>
      <c r="J7" s="13">
        <f>(Table16[[#This Row],[balanced_accuracy_mean]]-Table16[[#This Row],[Random Baseline]]) / Table16[[#This Row],[Random Baseline]]</f>
        <v>0.57484535814070403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AD51-D6E7-0942-99BE-074254C72149}">
  <dimension ref="A1:B7"/>
  <sheetViews>
    <sheetView zoomScale="120" zoomScaleNormal="120" workbookViewId="0">
      <selection activeCell="Q29" sqref="Q29"/>
    </sheetView>
  </sheetViews>
  <sheetFormatPr baseColWidth="10" defaultRowHeight="16" x14ac:dyDescent="0.2"/>
  <cols>
    <col min="1" max="1" width="20.6640625" bestFit="1" customWidth="1"/>
    <col min="2" max="2" width="14.5" customWidth="1"/>
  </cols>
  <sheetData>
    <row r="1" spans="1:2" x14ac:dyDescent="0.2">
      <c r="A1" t="s">
        <v>0</v>
      </c>
      <c r="B1" t="s">
        <v>338</v>
      </c>
    </row>
    <row r="2" spans="1:2" x14ac:dyDescent="0.2">
      <c r="A2" t="s">
        <v>339</v>
      </c>
      <c r="B2" s="13">
        <f>AVERAGE('Chart 1 - dail_only_province'!F3:F13)</f>
        <v>0.26067879184124626</v>
      </c>
    </row>
    <row r="3" spans="1:2" x14ac:dyDescent="0.2">
      <c r="A3" t="s">
        <v>334</v>
      </c>
      <c r="B3" s="13">
        <f>AVERAGE('Chart 1 - province_4way'!F3:F13)</f>
        <v>0.36117550487910732</v>
      </c>
    </row>
    <row r="4" spans="1:2" x14ac:dyDescent="0.2">
      <c r="A4" t="s">
        <v>340</v>
      </c>
      <c r="B4" s="13">
        <f>AVERAGE('Chart 1 - ulster_leinster_rest'!F3:F13)</f>
        <v>0.47729296418519523</v>
      </c>
    </row>
    <row r="5" spans="1:2" x14ac:dyDescent="0.2">
      <c r="A5" t="s">
        <v>333</v>
      </c>
      <c r="B5" s="13">
        <f>AVERAGE('Chart 1 - leinster_vs_rest'!F3:F13)</f>
        <v>0.56076145982703163</v>
      </c>
    </row>
    <row r="6" spans="1:2" x14ac:dyDescent="0.2">
      <c r="A6" t="s">
        <v>336</v>
      </c>
      <c r="B6" s="13">
        <f>AVERAGE('Chart 1 - ulster_vs_rest'!F3:F13)</f>
        <v>0.68980000691247101</v>
      </c>
    </row>
    <row r="7" spans="1:2" x14ac:dyDescent="0.2">
      <c r="A7" t="s">
        <v>332</v>
      </c>
      <c r="B7" s="13">
        <f>AVERAGE('Chart 1 - dail_vs_ni'!F3:F13)</f>
        <v>0.70055632587201178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341C-B600-F644-914C-5BC8BB7617B7}">
  <dimension ref="A1:H67"/>
  <sheetViews>
    <sheetView topLeftCell="C1" zoomScale="120" zoomScaleNormal="120" workbookViewId="0">
      <selection activeCell="P21" sqref="P21"/>
    </sheetView>
  </sheetViews>
  <sheetFormatPr baseColWidth="10" defaultRowHeight="16" x14ac:dyDescent="0.2"/>
  <cols>
    <col min="1" max="1" width="17" bestFit="1" customWidth="1"/>
    <col min="2" max="2" width="14.33203125" bestFit="1" customWidth="1"/>
    <col min="3" max="3" width="32.1640625" bestFit="1" customWidth="1"/>
    <col min="4" max="4" width="25.33203125" style="13" bestFit="1" customWidth="1"/>
    <col min="6" max="6" width="13.83203125" customWidth="1"/>
    <col min="7" max="7" width="19.6640625" customWidth="1"/>
    <col min="8" max="8" width="24.6640625" customWidth="1"/>
    <col min="11" max="11" width="26.1640625" bestFit="1" customWidth="1"/>
  </cols>
  <sheetData>
    <row r="1" spans="1:8" x14ac:dyDescent="0.2">
      <c r="A1" t="s">
        <v>0</v>
      </c>
      <c r="B1" t="s">
        <v>1</v>
      </c>
      <c r="C1" t="s">
        <v>235</v>
      </c>
      <c r="D1" s="13" t="s">
        <v>9</v>
      </c>
      <c r="F1" t="s">
        <v>1</v>
      </c>
      <c r="G1" t="s">
        <v>312</v>
      </c>
      <c r="H1" t="s">
        <v>343</v>
      </c>
    </row>
    <row r="2" spans="1:8" x14ac:dyDescent="0.2">
      <c r="A2" t="s">
        <v>11</v>
      </c>
      <c r="B2" t="s">
        <v>12</v>
      </c>
      <c r="C2" t="s">
        <v>236</v>
      </c>
      <c r="D2" s="13">
        <v>0.264187176232141</v>
      </c>
      <c r="F2" s="34" t="s">
        <v>12</v>
      </c>
      <c r="G2" t="s">
        <v>317</v>
      </c>
      <c r="H2" s="13">
        <f>AVERAGEIF(irish_model_summary_rebuilt!B:B, F2, irish_model_summary_rebuilt!N:N)</f>
        <v>0.22058773318991201</v>
      </c>
    </row>
    <row r="3" spans="1:8" x14ac:dyDescent="0.2">
      <c r="A3" t="s">
        <v>61</v>
      </c>
      <c r="B3" t="s">
        <v>12</v>
      </c>
      <c r="C3" t="s">
        <v>247</v>
      </c>
      <c r="D3" s="13">
        <v>0.66043166910492002</v>
      </c>
      <c r="F3" t="s">
        <v>24</v>
      </c>
      <c r="G3" t="s">
        <v>316</v>
      </c>
      <c r="H3" s="13">
        <f>AVERAGEIF(irish_model_summary_rebuilt!B:B, F3, irish_model_summary_rebuilt!N:N)</f>
        <v>0.24318918448075769</v>
      </c>
    </row>
    <row r="4" spans="1:8" x14ac:dyDescent="0.2">
      <c r="A4" t="s">
        <v>94</v>
      </c>
      <c r="B4" t="s">
        <v>12</v>
      </c>
      <c r="C4" t="s">
        <v>258</v>
      </c>
      <c r="D4" s="13">
        <v>0.54934216999991203</v>
      </c>
      <c r="F4" t="s">
        <v>28</v>
      </c>
      <c r="G4" t="s">
        <v>318</v>
      </c>
      <c r="H4" s="13">
        <f>AVERAGEIF(irish_model_summary_rebuilt!B:B, F4, irish_model_summary_rebuilt!N:N)</f>
        <v>0.24736137814645034</v>
      </c>
    </row>
    <row r="5" spans="1:8" x14ac:dyDescent="0.2">
      <c r="A5" t="s">
        <v>133</v>
      </c>
      <c r="B5" t="s">
        <v>12</v>
      </c>
      <c r="C5" t="s">
        <v>269</v>
      </c>
      <c r="D5" s="13">
        <v>0.32904197123279599</v>
      </c>
      <c r="F5" t="s">
        <v>32</v>
      </c>
      <c r="G5" t="s">
        <v>315</v>
      </c>
      <c r="H5" s="13">
        <f>AVERAGEIF(irish_model_summary_rebuilt!B:B, F5, irish_model_summary_rebuilt!N:N)</f>
        <v>0.26890001186548718</v>
      </c>
    </row>
    <row r="6" spans="1:8" x14ac:dyDescent="0.2">
      <c r="A6" t="s">
        <v>171</v>
      </c>
      <c r="B6" t="s">
        <v>12</v>
      </c>
      <c r="C6" t="s">
        <v>280</v>
      </c>
      <c r="D6" s="13">
        <v>0.42159730646124799</v>
      </c>
      <c r="F6" t="s">
        <v>19</v>
      </c>
      <c r="G6" t="s">
        <v>319</v>
      </c>
      <c r="H6" s="13">
        <f>AVERAGEIF(irish_model_summary_rebuilt!B:B, F6, irish_model_summary_rebuilt!N:N)</f>
        <v>0.27021457756549483</v>
      </c>
    </row>
    <row r="7" spans="1:8" x14ac:dyDescent="0.2">
      <c r="A7" t="s">
        <v>203</v>
      </c>
      <c r="B7" t="s">
        <v>12</v>
      </c>
      <c r="C7" t="s">
        <v>291</v>
      </c>
      <c r="D7" s="13">
        <v>0.63313510584315802</v>
      </c>
      <c r="F7" t="s">
        <v>56</v>
      </c>
      <c r="G7" t="s">
        <v>310</v>
      </c>
      <c r="H7" s="13">
        <f>AVERAGEIF(irish_model_summary_rebuilt!B:B, F7, irish_model_summary_rebuilt!N:N)</f>
        <v>0.29743821886594501</v>
      </c>
    </row>
    <row r="8" spans="1:8" x14ac:dyDescent="0.2">
      <c r="A8" t="s">
        <v>11</v>
      </c>
      <c r="B8" t="s">
        <v>24</v>
      </c>
      <c r="C8" t="s">
        <v>238</v>
      </c>
      <c r="D8" s="13">
        <v>0.26366790328200101</v>
      </c>
      <c r="F8" t="s">
        <v>48</v>
      </c>
      <c r="G8" t="s">
        <v>311</v>
      </c>
      <c r="H8" s="13">
        <f>AVERAGEIF(irish_model_summary_rebuilt!B:B, F8, irish_model_summary_rebuilt!N:N)</f>
        <v>0.31737390451873354</v>
      </c>
    </row>
    <row r="9" spans="1:8" x14ac:dyDescent="0.2">
      <c r="A9" t="s">
        <v>61</v>
      </c>
      <c r="B9" t="s">
        <v>24</v>
      </c>
      <c r="C9" t="s">
        <v>249</v>
      </c>
      <c r="D9" s="13">
        <v>0.668837708052195</v>
      </c>
      <c r="F9" t="s">
        <v>43</v>
      </c>
      <c r="G9" t="s">
        <v>309</v>
      </c>
      <c r="H9" s="13">
        <f>AVERAGEIF(irish_model_summary_rebuilt!B:B, F9, irish_model_summary_rebuilt!N:N)</f>
        <v>0.33499851349043003</v>
      </c>
    </row>
    <row r="10" spans="1:8" x14ac:dyDescent="0.2">
      <c r="A10" t="s">
        <v>94</v>
      </c>
      <c r="B10" t="s">
        <v>24</v>
      </c>
      <c r="C10" t="s">
        <v>260</v>
      </c>
      <c r="D10" s="13">
        <v>0.55833869403457703</v>
      </c>
      <c r="F10" t="s">
        <v>36</v>
      </c>
      <c r="G10" t="s">
        <v>321</v>
      </c>
      <c r="H10" s="13">
        <f>AVERAGEIF(irish_model_summary_rebuilt!B:B, F10, irish_model_summary_rebuilt!N:N)</f>
        <v>0.36592986953842538</v>
      </c>
    </row>
    <row r="11" spans="1:8" x14ac:dyDescent="0.2">
      <c r="A11" t="s">
        <v>133</v>
      </c>
      <c r="B11" t="s">
        <v>24</v>
      </c>
      <c r="C11" t="s">
        <v>271</v>
      </c>
      <c r="D11" s="13">
        <v>0.33106140748108198</v>
      </c>
      <c r="F11" t="s">
        <v>52</v>
      </c>
      <c r="G11" t="s">
        <v>314</v>
      </c>
      <c r="H11" s="13">
        <f>AVERAGEIF(irish_model_summary_rebuilt!B:B, F11, irish_model_summary_rebuilt!N:N)</f>
        <v>0.37003461658216513</v>
      </c>
    </row>
    <row r="12" spans="1:8" x14ac:dyDescent="0.2">
      <c r="A12" t="s">
        <v>171</v>
      </c>
      <c r="B12" t="s">
        <v>24</v>
      </c>
      <c r="C12" t="s">
        <v>282</v>
      </c>
      <c r="D12" s="13">
        <v>0.44857915355944</v>
      </c>
      <c r="F12" t="s">
        <v>40</v>
      </c>
      <c r="G12" t="s">
        <v>320</v>
      </c>
      <c r="H12" s="13">
        <f>AVERAGEIF(irish_model_summary_rebuilt!B:B, F12, irish_model_summary_rebuilt!N:N)</f>
        <v>0.40344671029958601</v>
      </c>
    </row>
    <row r="13" spans="1:8" x14ac:dyDescent="0.2">
      <c r="A13" t="s">
        <v>203</v>
      </c>
      <c r="B13" t="s">
        <v>24</v>
      </c>
      <c r="C13" t="s">
        <v>293</v>
      </c>
      <c r="D13" s="13">
        <v>0.640063799490175</v>
      </c>
    </row>
    <row r="14" spans="1:8" x14ac:dyDescent="0.2">
      <c r="A14" s="33" t="s">
        <v>11</v>
      </c>
      <c r="B14" s="34" t="s">
        <v>28</v>
      </c>
      <c r="C14" s="34" t="s">
        <v>239</v>
      </c>
      <c r="D14" s="54">
        <v>0.265377032150932</v>
      </c>
    </row>
    <row r="15" spans="1:8" x14ac:dyDescent="0.2">
      <c r="A15" s="33" t="s">
        <v>61</v>
      </c>
      <c r="B15" s="34" t="s">
        <v>28</v>
      </c>
      <c r="C15" s="34" t="s">
        <v>250</v>
      </c>
      <c r="D15" s="54">
        <v>0.67095073120098803</v>
      </c>
    </row>
    <row r="16" spans="1:8" x14ac:dyDescent="0.2">
      <c r="A16" s="33" t="s">
        <v>94</v>
      </c>
      <c r="B16" s="34" t="s">
        <v>28</v>
      </c>
      <c r="C16" s="34" t="s">
        <v>261</v>
      </c>
      <c r="D16" s="53">
        <v>0.56140121808677201</v>
      </c>
    </row>
    <row r="17" spans="1:4" x14ac:dyDescent="0.2">
      <c r="A17" s="33" t="s">
        <v>133</v>
      </c>
      <c r="B17" s="34" t="s">
        <v>28</v>
      </c>
      <c r="C17" s="34" t="s">
        <v>272</v>
      </c>
      <c r="D17" s="54">
        <v>0.334709054798845</v>
      </c>
    </row>
    <row r="18" spans="1:4" x14ac:dyDescent="0.2">
      <c r="A18" s="33" t="s">
        <v>171</v>
      </c>
      <c r="B18" s="34" t="s">
        <v>28</v>
      </c>
      <c r="C18" s="34" t="s">
        <v>283</v>
      </c>
      <c r="D18" s="54">
        <v>0.44101663244234801</v>
      </c>
    </row>
    <row r="19" spans="1:4" x14ac:dyDescent="0.2">
      <c r="A19" s="33" t="s">
        <v>203</v>
      </c>
      <c r="B19" s="34" t="s">
        <v>28</v>
      </c>
      <c r="C19" s="34" t="s">
        <v>294</v>
      </c>
      <c r="D19" s="54">
        <v>0.64803506258851495</v>
      </c>
    </row>
    <row r="20" spans="1:4" x14ac:dyDescent="0.2">
      <c r="A20" s="33" t="s">
        <v>11</v>
      </c>
      <c r="B20" s="34" t="s">
        <v>32</v>
      </c>
      <c r="C20" s="34" t="s">
        <v>240</v>
      </c>
      <c r="D20" s="54">
        <v>0.26357770750863202</v>
      </c>
    </row>
    <row r="21" spans="1:4" x14ac:dyDescent="0.2">
      <c r="A21" s="33" t="s">
        <v>61</v>
      </c>
      <c r="B21" s="34" t="s">
        <v>32</v>
      </c>
      <c r="C21" s="34" t="s">
        <v>251</v>
      </c>
      <c r="D21" s="54">
        <v>0.65838804078415203</v>
      </c>
    </row>
    <row r="22" spans="1:4" x14ac:dyDescent="0.2">
      <c r="A22" s="33" t="s">
        <v>94</v>
      </c>
      <c r="B22" s="34" t="s">
        <v>32</v>
      </c>
      <c r="C22" s="34" t="s">
        <v>262</v>
      </c>
      <c r="D22" s="54">
        <v>0.57620999965739295</v>
      </c>
    </row>
    <row r="23" spans="1:4" x14ac:dyDescent="0.2">
      <c r="A23" s="33" t="s">
        <v>133</v>
      </c>
      <c r="B23" s="34" t="s">
        <v>32</v>
      </c>
      <c r="C23" s="34" t="s">
        <v>273</v>
      </c>
      <c r="D23" s="54">
        <v>0.34742543927153302</v>
      </c>
    </row>
    <row r="24" spans="1:4" x14ac:dyDescent="0.2">
      <c r="A24" s="33" t="s">
        <v>171</v>
      </c>
      <c r="B24" s="34" t="s">
        <v>32</v>
      </c>
      <c r="C24" s="34" t="s">
        <v>284</v>
      </c>
      <c r="D24" s="54">
        <v>0.45696840088203899</v>
      </c>
    </row>
    <row r="25" spans="1:4" x14ac:dyDescent="0.2">
      <c r="A25" s="33" t="s">
        <v>203</v>
      </c>
      <c r="B25" s="34" t="s">
        <v>32</v>
      </c>
      <c r="C25" s="34" t="s">
        <v>295</v>
      </c>
      <c r="D25" s="54">
        <v>0.66464310027152795</v>
      </c>
    </row>
    <row r="26" spans="1:4" x14ac:dyDescent="0.2">
      <c r="A26" s="33" t="s">
        <v>11</v>
      </c>
      <c r="B26" s="34" t="s">
        <v>36</v>
      </c>
      <c r="C26" s="34" t="s">
        <v>241</v>
      </c>
      <c r="D26" s="54">
        <v>0.27210886725816702</v>
      </c>
    </row>
    <row r="27" spans="1:4" x14ac:dyDescent="0.2">
      <c r="A27" s="33" t="s">
        <v>61</v>
      </c>
      <c r="B27" s="34" t="s">
        <v>36</v>
      </c>
      <c r="C27" s="34" t="s">
        <v>252</v>
      </c>
      <c r="D27" s="54">
        <v>0.72374581361208501</v>
      </c>
    </row>
    <row r="28" spans="1:4" x14ac:dyDescent="0.2">
      <c r="A28" s="33" t="s">
        <v>94</v>
      </c>
      <c r="B28" s="34" t="s">
        <v>36</v>
      </c>
      <c r="C28" s="34" t="s">
        <v>263</v>
      </c>
      <c r="D28" s="54">
        <v>0.55836682962401596</v>
      </c>
    </row>
    <row r="29" spans="1:4" x14ac:dyDescent="0.2">
      <c r="A29" s="33" t="s">
        <v>133</v>
      </c>
      <c r="B29" s="34" t="s">
        <v>36</v>
      </c>
      <c r="C29" s="34" t="s">
        <v>274</v>
      </c>
      <c r="D29" s="54">
        <v>0.393829083975969</v>
      </c>
    </row>
    <row r="30" spans="1:4" x14ac:dyDescent="0.2">
      <c r="A30" s="33" t="s">
        <v>171</v>
      </c>
      <c r="B30" s="34" t="s">
        <v>36</v>
      </c>
      <c r="C30" s="34" t="s">
        <v>285</v>
      </c>
      <c r="D30" s="53">
        <v>0.50573615943149597</v>
      </c>
    </row>
    <row r="31" spans="1:4" x14ac:dyDescent="0.2">
      <c r="A31" s="33" t="s">
        <v>203</v>
      </c>
      <c r="B31" s="34" t="s">
        <v>36</v>
      </c>
      <c r="C31" s="34" t="s">
        <v>296</v>
      </c>
      <c r="D31" s="54">
        <v>0.72519682376365902</v>
      </c>
    </row>
    <row r="32" spans="1:4" x14ac:dyDescent="0.2">
      <c r="A32" s="33" t="s">
        <v>11</v>
      </c>
      <c r="B32" s="34" t="s">
        <v>40</v>
      </c>
      <c r="C32" s="34" t="s">
        <v>242</v>
      </c>
      <c r="D32" s="54">
        <v>0.27188960719951899</v>
      </c>
    </row>
    <row r="33" spans="1:4" x14ac:dyDescent="0.2">
      <c r="A33" s="33" t="s">
        <v>61</v>
      </c>
      <c r="B33" s="34" t="s">
        <v>40</v>
      </c>
      <c r="C33" s="34" t="s">
        <v>253</v>
      </c>
      <c r="D33" s="54">
        <v>0.765450294311946</v>
      </c>
    </row>
    <row r="34" spans="1:4" x14ac:dyDescent="0.2">
      <c r="A34" s="33" t="s">
        <v>94</v>
      </c>
      <c r="B34" s="34" t="s">
        <v>40</v>
      </c>
      <c r="C34" s="34" t="s">
        <v>264</v>
      </c>
      <c r="D34" s="54">
        <v>0.61577722349836606</v>
      </c>
    </row>
    <row r="35" spans="1:4" x14ac:dyDescent="0.2">
      <c r="A35" s="33" t="s">
        <v>133</v>
      </c>
      <c r="B35" s="34" t="s">
        <v>40</v>
      </c>
      <c r="C35" s="34" t="s">
        <v>275</v>
      </c>
      <c r="D35" s="54">
        <v>0.39085496944155601</v>
      </c>
    </row>
    <row r="36" spans="1:4" x14ac:dyDescent="0.2">
      <c r="A36" s="33" t="s">
        <v>171</v>
      </c>
      <c r="B36" s="34" t="s">
        <v>40</v>
      </c>
      <c r="C36" s="34" t="s">
        <v>286</v>
      </c>
      <c r="D36" s="54">
        <v>0.50391032853011997</v>
      </c>
    </row>
    <row r="37" spans="1:4" x14ac:dyDescent="0.2">
      <c r="A37" s="33" t="s">
        <v>203</v>
      </c>
      <c r="B37" s="34" t="s">
        <v>40</v>
      </c>
      <c r="C37" s="34" t="s">
        <v>297</v>
      </c>
      <c r="D37" s="53">
        <v>0.74775796701111596</v>
      </c>
    </row>
    <row r="38" spans="1:4" x14ac:dyDescent="0.2">
      <c r="A38" s="33" t="s">
        <v>11</v>
      </c>
      <c r="B38" s="34" t="s">
        <v>43</v>
      </c>
      <c r="C38" s="34" t="s">
        <v>243</v>
      </c>
      <c r="D38" s="54">
        <v>0.24096703872637501</v>
      </c>
    </row>
    <row r="39" spans="1:4" x14ac:dyDescent="0.2">
      <c r="A39" s="33" t="s">
        <v>61</v>
      </c>
      <c r="B39" s="34" t="s">
        <v>43</v>
      </c>
      <c r="C39" s="34" t="s">
        <v>254</v>
      </c>
      <c r="D39" s="54">
        <v>0.78742267907035202</v>
      </c>
    </row>
    <row r="40" spans="1:4" x14ac:dyDescent="0.2">
      <c r="A40" s="33" t="s">
        <v>94</v>
      </c>
      <c r="B40" s="34" t="s">
        <v>43</v>
      </c>
      <c r="C40" s="34" t="s">
        <v>265</v>
      </c>
      <c r="D40" s="54">
        <v>0.60023140650857298</v>
      </c>
    </row>
    <row r="41" spans="1:4" x14ac:dyDescent="0.2">
      <c r="A41" s="33" t="s">
        <v>133</v>
      </c>
      <c r="B41" s="34" t="s">
        <v>43</v>
      </c>
      <c r="C41" s="34" t="s">
        <v>276</v>
      </c>
      <c r="D41" s="54">
        <v>0.34908771334084698</v>
      </c>
    </row>
    <row r="42" spans="1:4" x14ac:dyDescent="0.2">
      <c r="A42" s="33" t="s">
        <v>171</v>
      </c>
      <c r="B42" s="34" t="s">
        <v>43</v>
      </c>
      <c r="C42" s="34" t="s">
        <v>287</v>
      </c>
      <c r="D42" s="54">
        <v>0.47583234152914999</v>
      </c>
    </row>
    <row r="43" spans="1:4" x14ac:dyDescent="0.2">
      <c r="A43" s="33" t="s">
        <v>203</v>
      </c>
      <c r="B43" s="34" t="s">
        <v>43</v>
      </c>
      <c r="C43" s="34" t="s">
        <v>298</v>
      </c>
      <c r="D43" s="54">
        <v>0.72348343846419605</v>
      </c>
    </row>
    <row r="44" spans="1:4" x14ac:dyDescent="0.2">
      <c r="A44" s="33" t="s">
        <v>11</v>
      </c>
      <c r="B44" s="34" t="s">
        <v>48</v>
      </c>
      <c r="C44" s="34" t="s">
        <v>244</v>
      </c>
      <c r="D44" s="54">
        <v>0.24748213816978401</v>
      </c>
    </row>
    <row r="45" spans="1:4" x14ac:dyDescent="0.2">
      <c r="A45" s="33" t="s">
        <v>61</v>
      </c>
      <c r="B45" s="34" t="s">
        <v>48</v>
      </c>
      <c r="C45" s="34" t="s">
        <v>255</v>
      </c>
      <c r="D45" s="54">
        <v>0.71707070080305901</v>
      </c>
    </row>
    <row r="46" spans="1:4" x14ac:dyDescent="0.2">
      <c r="A46" s="33" t="s">
        <v>94</v>
      </c>
      <c r="B46" s="34" t="s">
        <v>48</v>
      </c>
      <c r="C46" s="34" t="s">
        <v>266</v>
      </c>
      <c r="D46" s="54">
        <v>0.52132499653409303</v>
      </c>
    </row>
    <row r="47" spans="1:4" x14ac:dyDescent="0.2">
      <c r="A47" s="33" t="s">
        <v>133</v>
      </c>
      <c r="B47" s="34" t="s">
        <v>48</v>
      </c>
      <c r="C47" s="34" t="s">
        <v>277</v>
      </c>
      <c r="D47" s="54">
        <v>0.37670411177694002</v>
      </c>
    </row>
    <row r="48" spans="1:4" x14ac:dyDescent="0.2">
      <c r="A48" s="33" t="s">
        <v>171</v>
      </c>
      <c r="B48" s="34" t="s">
        <v>48</v>
      </c>
      <c r="C48" s="34" t="s">
        <v>288</v>
      </c>
      <c r="D48" s="54">
        <v>0.49953825878000302</v>
      </c>
    </row>
    <row r="49" spans="1:4" x14ac:dyDescent="0.2">
      <c r="A49" s="33" t="s">
        <v>203</v>
      </c>
      <c r="B49" s="34" t="s">
        <v>48</v>
      </c>
      <c r="C49" s="34" t="s">
        <v>299</v>
      </c>
      <c r="D49" s="54">
        <v>0.71604612815559598</v>
      </c>
    </row>
    <row r="50" spans="1:4" x14ac:dyDescent="0.2">
      <c r="A50" s="33" t="s">
        <v>11</v>
      </c>
      <c r="B50" s="34" t="s">
        <v>52</v>
      </c>
      <c r="C50" s="34" t="s">
        <v>245</v>
      </c>
      <c r="D50" s="54">
        <v>0.26125610107875902</v>
      </c>
    </row>
    <row r="51" spans="1:4" x14ac:dyDescent="0.2">
      <c r="A51" s="33" t="s">
        <v>61</v>
      </c>
      <c r="B51" s="34" t="s">
        <v>52</v>
      </c>
      <c r="C51" s="34" t="s">
        <v>256</v>
      </c>
      <c r="D51" s="53">
        <v>0.73857218814408898</v>
      </c>
    </row>
    <row r="52" spans="1:4" x14ac:dyDescent="0.2">
      <c r="A52" s="33" t="s">
        <v>94</v>
      </c>
      <c r="B52" s="34" t="s">
        <v>52</v>
      </c>
      <c r="C52" s="34" t="s">
        <v>267</v>
      </c>
      <c r="D52" s="54">
        <v>0.554791363897845</v>
      </c>
    </row>
    <row r="53" spans="1:4" x14ac:dyDescent="0.2">
      <c r="A53" s="33" t="s">
        <v>133</v>
      </c>
      <c r="B53" s="34" t="s">
        <v>52</v>
      </c>
      <c r="C53" s="34" t="s">
        <v>278</v>
      </c>
      <c r="D53" s="54">
        <v>0.39387690904640299</v>
      </c>
    </row>
    <row r="54" spans="1:4" x14ac:dyDescent="0.2">
      <c r="A54" s="33" t="s">
        <v>171</v>
      </c>
      <c r="B54" s="34" t="s">
        <v>52</v>
      </c>
      <c r="C54" s="34" t="s">
        <v>289</v>
      </c>
      <c r="D54" s="54">
        <v>0.51436119665508895</v>
      </c>
    </row>
    <row r="55" spans="1:4" x14ac:dyDescent="0.2">
      <c r="A55" s="33" t="s">
        <v>203</v>
      </c>
      <c r="B55" s="34" t="s">
        <v>52</v>
      </c>
      <c r="C55" s="34" t="s">
        <v>300</v>
      </c>
      <c r="D55" s="54">
        <v>0.73493248247160403</v>
      </c>
    </row>
    <row r="56" spans="1:4" x14ac:dyDescent="0.2">
      <c r="A56" s="33" t="s">
        <v>11</v>
      </c>
      <c r="B56" s="34" t="s">
        <v>56</v>
      </c>
      <c r="C56" s="34" t="s">
        <v>246</v>
      </c>
      <c r="D56" s="54">
        <v>0.24686381290499601</v>
      </c>
    </row>
    <row r="57" spans="1:4" x14ac:dyDescent="0.2">
      <c r="A57" s="33" t="s">
        <v>61</v>
      </c>
      <c r="B57" s="34" t="s">
        <v>56</v>
      </c>
      <c r="C57" s="34" t="s">
        <v>257</v>
      </c>
      <c r="D57" s="54">
        <v>0.65831235479147199</v>
      </c>
    </row>
    <row r="58" spans="1:4" x14ac:dyDescent="0.2">
      <c r="A58" s="33" t="s">
        <v>94</v>
      </c>
      <c r="B58" s="34" t="s">
        <v>56</v>
      </c>
      <c r="C58" s="34" t="s">
        <v>268</v>
      </c>
      <c r="D58" s="53">
        <v>0.5</v>
      </c>
    </row>
    <row r="59" spans="1:4" x14ac:dyDescent="0.2">
      <c r="A59" s="33" t="s">
        <v>133</v>
      </c>
      <c r="B59" s="34" t="s">
        <v>56</v>
      </c>
      <c r="C59" s="34" t="s">
        <v>279</v>
      </c>
      <c r="D59" s="54">
        <v>0.37869701611252199</v>
      </c>
    </row>
    <row r="60" spans="1:4" x14ac:dyDescent="0.2">
      <c r="A60" s="33" t="s">
        <v>171</v>
      </c>
      <c r="B60" s="34" t="s">
        <v>56</v>
      </c>
      <c r="C60" s="34" t="s">
        <v>290</v>
      </c>
      <c r="D60" s="53">
        <v>0.52408969936051997</v>
      </c>
    </row>
    <row r="61" spans="1:4" x14ac:dyDescent="0.2">
      <c r="A61" s="81" t="s">
        <v>203</v>
      </c>
      <c r="B61" s="82" t="s">
        <v>56</v>
      </c>
      <c r="C61" s="82" t="s">
        <v>301</v>
      </c>
      <c r="D61" s="83">
        <v>0.69674609473054705</v>
      </c>
    </row>
    <row r="62" spans="1:4" x14ac:dyDescent="0.2">
      <c r="A62" s="81" t="s">
        <v>11</v>
      </c>
      <c r="B62" s="82" t="s">
        <v>19</v>
      </c>
      <c r="C62" s="82" t="s">
        <v>237</v>
      </c>
      <c r="D62" s="83">
        <v>0.27008932574240302</v>
      </c>
    </row>
    <row r="63" spans="1:4" x14ac:dyDescent="0.2">
      <c r="A63" s="81" t="s">
        <v>61</v>
      </c>
      <c r="B63" s="82" t="s">
        <v>19</v>
      </c>
      <c r="C63" s="82" t="s">
        <v>248</v>
      </c>
      <c r="D63" s="83">
        <v>0.65693740471687101</v>
      </c>
    </row>
    <row r="64" spans="1:4" x14ac:dyDescent="0.2">
      <c r="A64" s="81" t="s">
        <v>94</v>
      </c>
      <c r="B64" s="82" t="s">
        <v>19</v>
      </c>
      <c r="C64" s="82" t="s">
        <v>259</v>
      </c>
      <c r="D64" s="83">
        <v>0.57259215625580095</v>
      </c>
    </row>
    <row r="65" spans="1:4" x14ac:dyDescent="0.2">
      <c r="A65" s="81" t="s">
        <v>133</v>
      </c>
      <c r="B65" s="82" t="s">
        <v>19</v>
      </c>
      <c r="C65" s="82" t="s">
        <v>270</v>
      </c>
      <c r="D65" s="83">
        <v>0.34764287719168802</v>
      </c>
    </row>
    <row r="66" spans="1:4" x14ac:dyDescent="0.2">
      <c r="A66" s="81" t="s">
        <v>171</v>
      </c>
      <c r="B66" s="82" t="s">
        <v>19</v>
      </c>
      <c r="C66" s="82" t="s">
        <v>281</v>
      </c>
      <c r="D66" s="83">
        <v>0.45859312840569499</v>
      </c>
    </row>
    <row r="67" spans="1:4" x14ac:dyDescent="0.2">
      <c r="A67" s="81" t="s">
        <v>203</v>
      </c>
      <c r="B67" s="82" t="s">
        <v>19</v>
      </c>
      <c r="C67" s="82" t="s">
        <v>292</v>
      </c>
      <c r="D67" s="83">
        <v>0.65776007324708796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irish_model_summary_rebuilt</vt:lpstr>
      <vt:lpstr>Charts</vt:lpstr>
      <vt:lpstr>Chart 1 - dail_only_province</vt:lpstr>
      <vt:lpstr>Chart 1 - province_4way</vt:lpstr>
      <vt:lpstr>Chart 1 - dail_vs_ni</vt:lpstr>
      <vt:lpstr>Chart 1 - ulster_leinster_rest</vt:lpstr>
      <vt:lpstr>Chart 1 - leinster_vs_rest</vt:lpstr>
      <vt:lpstr>Chart 1 - ulster_vs_rest</vt:lpstr>
      <vt:lpstr>Chart 2 - BestModelPerTask</vt:lpstr>
      <vt:lpstr>Chart 3 - AverageAccuracyTask</vt:lpstr>
      <vt:lpstr>Chart4 - relativeAccuracyModel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2026-03-21T13:27:47Z</dcterms:created>
  <dcterms:modified xsi:type="dcterms:W3CDTF">2026-04-14T15:09:42Z</dcterms:modified>
</cp:coreProperties>
</file>