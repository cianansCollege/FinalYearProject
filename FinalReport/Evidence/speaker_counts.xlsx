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anan/Documents/College/GitHub/FYP/FinalReport/Evidence/"/>
    </mc:Choice>
  </mc:AlternateContent>
  <xr:revisionPtr revIDLastSave="0" documentId="13_ncr:1_{173C4406-83B3-7D4D-98E7-498ED7D83572}" xr6:coauthVersionLast="47" xr6:coauthVersionMax="47" xr10:uidLastSave="{00000000-0000-0000-0000-000000000000}"/>
  <bookViews>
    <workbookView xWindow="2640" yWindow="3140" windowWidth="27240" windowHeight="16440" xr2:uid="{33F6CCAC-11FD-904F-A4EA-8A34A3E80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" i="1" l="1"/>
  <c r="AG5" i="1"/>
  <c r="AG6" i="1"/>
  <c r="AG7" i="1"/>
  <c r="AG4" i="1"/>
  <c r="AF8" i="1"/>
</calcChain>
</file>

<file path=xl/sharedStrings.xml><?xml version="1.0" encoding="utf-8"?>
<sst xmlns="http://schemas.openxmlformats.org/spreadsheetml/2006/main" count="58" uniqueCount="21">
  <si>
    <t>Task</t>
  </si>
  <si>
    <t>Classes</t>
  </si>
  <si>
    <t>Samples</t>
  </si>
  <si>
    <t>Speakers</t>
  </si>
  <si>
    <t>Leinster vs Rest</t>
  </si>
  <si>
    <t>Ulster, Leinster vs Rest</t>
  </si>
  <si>
    <t>Dáil vs Northern Ireland</t>
  </si>
  <si>
    <t>Four Provinces (Dáil and NI)</t>
  </si>
  <si>
    <t>Four Provinces (Dáil Only)</t>
  </si>
  <si>
    <t>Ulster vs Rest</t>
  </si>
  <si>
    <t>Class</t>
  </si>
  <si>
    <t xml:space="preserve">Four Provinces (Dáil and NI) </t>
  </si>
  <si>
    <t xml:space="preserve">Four Provinces (Dáil Only) </t>
  </si>
  <si>
    <t>Ulster</t>
  </si>
  <si>
    <t>Rest</t>
  </si>
  <si>
    <t>Leinster</t>
  </si>
  <si>
    <t>Connacht</t>
  </si>
  <si>
    <t>Munster</t>
  </si>
  <si>
    <t>Dáil</t>
  </si>
  <si>
    <t>Northern Ireland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</si>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</sst>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33047-E010-8849-84E5-CEE1C2613E75}" name="Table1" displayName="Table1" ref="B2:E8" totalsRowShown="0">
  <autoFilter ref="B2:E8" xr:uid="{F1633047-E010-8849-84E5-CEE1C2613E75}"/>
  <tableColumns count="4">
    <tableColumn id="1" xr3:uid="{CED9AD9F-1A93-E34A-8FF1-85FF79181E65}" name="Task"/>
    <tableColumn id="2" xr3:uid="{026C2645-BEFF-DE44-B535-887704B9675C}" name="Classes"/>
    <tableColumn id="3" xr3:uid="{3B098CF3-7BAA-F140-AD50-26EEDE845533}" name="Samples"/>
    <tableColumn id="4" xr3:uid="{E9107F81-8B9C-AF4E-8A85-3B63FD72A286}" name="Speaker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13B3A4-9AAC-2643-A0D8-4AD0F416492C}" name="Table2" displayName="Table2" ref="G3:I5" totalsRowShown="0">
  <autoFilter ref="G3:I5" xr:uid="{AC13B3A4-9AAC-2643-A0D8-4AD0F416492C}"/>
  <tableColumns count="3">
    <tableColumn id="1" xr3:uid="{5197D4BB-DCCA-E441-8324-2D4FE0ECB62D}" name="Class"/>
    <tableColumn id="2" xr3:uid="{401BDBF5-D570-5940-9F25-7BBFA21D3A58}" name="Samples"/>
    <tableColumn id="3" xr3:uid="{AB2990BB-4F95-1247-91BC-74674377ADC2}" name="Speaker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B915DB-45BA-7045-8100-1650F50CF86E}" name="Table3" displayName="Table3" ref="K3:M5" totalsRowShown="0">
  <autoFilter ref="K3:M5" xr:uid="{F7B915DB-45BA-7045-8100-1650F50CF86E}"/>
  <tableColumns count="3">
    <tableColumn id="1" xr3:uid="{57B356F9-792D-9D44-A1BA-8575F959A68B}" name="Class"/>
    <tableColumn id="2" xr3:uid="{594BD03B-64BA-194E-A9D7-7B041152A150}" name="Samples"/>
    <tableColumn id="3" xr3:uid="{764C54EA-D2DB-A247-BEAC-248C4B931679}" name="Speaker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51436D-0212-674B-AA31-03B4ABDA88CF}" name="Table4" displayName="Table4" ref="O3:Q6" totalsRowShown="0">
  <autoFilter ref="O3:Q6" xr:uid="{5451436D-0212-674B-AA31-03B4ABDA88CF}"/>
  <tableColumns count="3">
    <tableColumn id="1" xr3:uid="{6D794BDB-F588-5D48-8C97-E2AE313664D8}" name="Class"/>
    <tableColumn id="2" xr3:uid="{A054B12A-D3EE-5E4B-9531-EBFB372FC126}" name="Samples"/>
    <tableColumn id="3" xr3:uid="{0E24813F-DE31-8046-AD30-87A6C7DCA1B3}" name="Speaker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1D5D1D-0A4D-EA4F-9750-95DC5FDE21C5}" name="Table5" displayName="Table5" ref="S3:U7" totalsRowShown="0">
  <autoFilter ref="S3:U7" xr:uid="{7C1D5D1D-0A4D-EA4F-9750-95DC5FDE21C5}"/>
  <tableColumns count="3">
    <tableColumn id="1" xr3:uid="{A6AC324D-D208-D34B-9651-CAF1F77E8C99}" name="Class"/>
    <tableColumn id="2" xr3:uid="{28E16171-C376-C640-8E7B-3D5CF86E82EE}" name="Samples"/>
    <tableColumn id="3" xr3:uid="{4FECF917-DA62-514D-A142-A1FAAD18A442}" name="Speaker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2D660D-7439-5B4D-BA85-7F2050DCBD92}" name="Table6" displayName="Table6" ref="W3:Y7" totalsRowShown="0">
  <autoFilter ref="W3:Y7" xr:uid="{B02D660D-7439-5B4D-BA85-7F2050DCBD92}"/>
  <tableColumns count="3">
    <tableColumn id="1" xr3:uid="{0EDA1C0F-C547-E647-9EE2-A51F7C910473}" name="Class"/>
    <tableColumn id="2" xr3:uid="{BE367860-203F-9D41-8A13-90E660553677}" name="Samples"/>
    <tableColumn id="3" xr3:uid="{8022D9E6-61C7-1A42-A9E0-8D0FE4659DC6}" name="Speaker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1D88DA6-3A3E-5641-AC46-728393F387F8}" name="Table7" displayName="Table7" ref="AA3:AC5" totalsRowShown="0">
  <autoFilter ref="AA3:AC5" xr:uid="{91D88DA6-3A3E-5641-AC46-728393F387F8}"/>
  <tableColumns count="3">
    <tableColumn id="1" xr3:uid="{EEE1CDC9-BBBC-8046-88C0-FBAFC67914CD}" name="Class"/>
    <tableColumn id="2" xr3:uid="{04D0D358-E0CE-1C4C-8DF1-A1534AF52550}" name="Samples"/>
    <tableColumn id="3" xr3:uid="{F6EEC234-BF20-0A40-9A45-39FC2F2A54C9}" name="Speaker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1C0688-1F1F-084F-9FC2-26D728B9390A}" name="Table59" displayName="Table59" ref="AE3:AG8" totalsRowCount="1">
  <autoFilter ref="AE3:AG7" xr:uid="{E81C0688-1F1F-084F-9FC2-26D728B9390A}"/>
  <tableColumns count="3">
    <tableColumn id="1" xr3:uid="{D905DFA4-9DDA-7343-B791-BADA0404329E}" name="Class"/>
    <tableColumn id="2" xr3:uid="{25CF7464-5C2F-1247-84B4-DF120D2EB9BF}" name="Samples" totalsRowFunction="custom">
      <totalsRowFormula>SUM(Table59[Samples])</totalsRowFormula>
    </tableColumn>
    <tableColumn id="3" xr3:uid="{5217A91D-2A10-3F47-A4D1-C37E3155E17C}" name="Percent" totalsRowFunction="custom">
      <calculatedColumnFormula>(Table59[[#This Row],[Samples]]/Table59[[#Totals],[Samples]])*100</calculatedColumnFormula>
      <totalsRowFormula>SUM(Table59[Percent])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9BD2-4988-B940-8B72-6465756E4216}">
  <dimension ref="B2:AG8"/>
  <sheetViews>
    <sheetView tabSelected="1" topLeftCell="Y1" zoomScale="190" workbookViewId="0">
      <selection activeCell="AG14" sqref="AG14"/>
    </sheetView>
  </sheetViews>
  <sheetFormatPr baseColWidth="10" defaultRowHeight="16" x14ac:dyDescent="0.2"/>
  <cols>
    <col min="2" max="2" width="24.33203125" customWidth="1"/>
    <col min="7" max="7" width="19.33203125" customWidth="1"/>
    <col min="11" max="11" width="10.5" customWidth="1"/>
    <col min="27" max="27" width="14.83203125" customWidth="1"/>
  </cols>
  <sheetData>
    <row r="2" spans="2:33" x14ac:dyDescent="0.2">
      <c r="B2" t="s">
        <v>0</v>
      </c>
      <c r="C2" t="s">
        <v>1</v>
      </c>
      <c r="D2" t="s">
        <v>2</v>
      </c>
      <c r="E2" t="s">
        <v>3</v>
      </c>
      <c r="G2" t="s">
        <v>9</v>
      </c>
      <c r="K2" t="s">
        <v>4</v>
      </c>
      <c r="O2" t="s">
        <v>5</v>
      </c>
      <c r="S2" t="s">
        <v>11</v>
      </c>
      <c r="W2" t="s">
        <v>12</v>
      </c>
      <c r="AA2" t="s">
        <v>6</v>
      </c>
    </row>
    <row r="3" spans="2:33" x14ac:dyDescent="0.2">
      <c r="B3" t="s">
        <v>9</v>
      </c>
      <c r="C3">
        <v>2</v>
      </c>
      <c r="D3">
        <v>1675</v>
      </c>
      <c r="E3">
        <v>212</v>
      </c>
      <c r="G3" t="s">
        <v>10</v>
      </c>
      <c r="H3" t="s">
        <v>2</v>
      </c>
      <c r="I3" t="s">
        <v>3</v>
      </c>
      <c r="K3" t="s">
        <v>10</v>
      </c>
      <c r="L3" t="s">
        <v>2</v>
      </c>
      <c r="M3" t="s">
        <v>3</v>
      </c>
      <c r="O3" t="s">
        <v>10</v>
      </c>
      <c r="P3" t="s">
        <v>2</v>
      </c>
      <c r="Q3" t="s">
        <v>3</v>
      </c>
      <c r="S3" t="s">
        <v>10</v>
      </c>
      <c r="T3" t="s">
        <v>2</v>
      </c>
      <c r="U3" t="s">
        <v>3</v>
      </c>
      <c r="W3" t="s">
        <v>10</v>
      </c>
      <c r="X3" t="s">
        <v>2</v>
      </c>
      <c r="Y3" t="s">
        <v>3</v>
      </c>
      <c r="AA3" t="s">
        <v>10</v>
      </c>
      <c r="AB3" t="s">
        <v>2</v>
      </c>
      <c r="AC3" t="s">
        <v>3</v>
      </c>
      <c r="AE3" t="s">
        <v>10</v>
      </c>
      <c r="AF3" t="s">
        <v>2</v>
      </c>
      <c r="AG3" t="s">
        <v>20</v>
      </c>
    </row>
    <row r="4" spans="2:33" x14ac:dyDescent="0.2">
      <c r="B4" t="s">
        <v>4</v>
      </c>
      <c r="C4">
        <v>2</v>
      </c>
      <c r="D4">
        <v>1675</v>
      </c>
      <c r="E4">
        <v>212</v>
      </c>
      <c r="G4" t="s">
        <v>13</v>
      </c>
      <c r="H4">
        <v>541</v>
      </c>
      <c r="I4">
        <v>30</v>
      </c>
      <c r="K4" t="s">
        <v>15</v>
      </c>
      <c r="L4">
        <v>481</v>
      </c>
      <c r="M4">
        <v>91</v>
      </c>
      <c r="O4" t="s">
        <v>13</v>
      </c>
      <c r="P4">
        <v>541</v>
      </c>
      <c r="Q4">
        <v>30</v>
      </c>
      <c r="S4" t="s">
        <v>15</v>
      </c>
      <c r="T4">
        <v>481</v>
      </c>
      <c r="U4">
        <v>91</v>
      </c>
      <c r="W4" t="s">
        <v>15</v>
      </c>
      <c r="X4">
        <v>481</v>
      </c>
      <c r="Y4">
        <v>91</v>
      </c>
      <c r="AA4" t="s">
        <v>18</v>
      </c>
      <c r="AB4">
        <v>1282</v>
      </c>
      <c r="AC4">
        <v>195</v>
      </c>
      <c r="AE4" t="s">
        <v>15</v>
      </c>
      <c r="AF4">
        <v>481</v>
      </c>
      <c r="AG4">
        <f>(Table59[[#This Row],[Samples]]/Table59[[#Totals],[Samples]])*100</f>
        <v>29.728059332509272</v>
      </c>
    </row>
    <row r="5" spans="2:33" x14ac:dyDescent="0.2">
      <c r="B5" t="s">
        <v>5</v>
      </c>
      <c r="C5">
        <v>3</v>
      </c>
      <c r="D5">
        <v>1675</v>
      </c>
      <c r="E5">
        <v>212</v>
      </c>
      <c r="G5" t="s">
        <v>14</v>
      </c>
      <c r="H5">
        <v>1134</v>
      </c>
      <c r="I5">
        <v>176</v>
      </c>
      <c r="K5" t="s">
        <v>14</v>
      </c>
      <c r="L5">
        <v>1194</v>
      </c>
      <c r="M5">
        <v>115</v>
      </c>
      <c r="O5" t="s">
        <v>15</v>
      </c>
      <c r="P5">
        <v>481</v>
      </c>
      <c r="Q5">
        <v>91</v>
      </c>
      <c r="S5" t="s">
        <v>13</v>
      </c>
      <c r="T5">
        <v>541</v>
      </c>
      <c r="U5">
        <v>30</v>
      </c>
      <c r="W5" t="s">
        <v>13</v>
      </c>
      <c r="X5">
        <v>165</v>
      </c>
      <c r="Y5">
        <v>14</v>
      </c>
      <c r="AA5" t="s">
        <v>19</v>
      </c>
      <c r="AB5">
        <v>393</v>
      </c>
      <c r="AC5">
        <v>11</v>
      </c>
      <c r="AE5" t="s">
        <v>13</v>
      </c>
      <c r="AF5">
        <v>541</v>
      </c>
      <c r="AG5">
        <f>(Table59[[#This Row],[Samples]]/Table59[[#Totals],[Samples]])*100</f>
        <v>33.436341161928304</v>
      </c>
    </row>
    <row r="6" spans="2:33" x14ac:dyDescent="0.2">
      <c r="B6" t="s">
        <v>7</v>
      </c>
      <c r="C6">
        <v>4</v>
      </c>
      <c r="D6">
        <v>1675</v>
      </c>
      <c r="E6">
        <v>212</v>
      </c>
      <c r="O6" t="s">
        <v>14</v>
      </c>
      <c r="P6">
        <v>653</v>
      </c>
      <c r="Q6">
        <v>85</v>
      </c>
      <c r="S6" t="s">
        <v>16</v>
      </c>
      <c r="T6">
        <v>249</v>
      </c>
      <c r="U6">
        <v>33</v>
      </c>
      <c r="W6" t="s">
        <v>16</v>
      </c>
      <c r="X6">
        <v>233</v>
      </c>
      <c r="Y6">
        <v>32</v>
      </c>
      <c r="AE6" t="s">
        <v>16</v>
      </c>
      <c r="AF6">
        <v>249</v>
      </c>
      <c r="AG6">
        <f>(Table59[[#This Row],[Samples]]/Table59[[#Totals],[Samples]])*100</f>
        <v>15.389369592089</v>
      </c>
    </row>
    <row r="7" spans="2:33" x14ac:dyDescent="0.2">
      <c r="B7" t="s">
        <v>8</v>
      </c>
      <c r="C7">
        <v>4</v>
      </c>
      <c r="D7">
        <v>1282</v>
      </c>
      <c r="E7">
        <v>195</v>
      </c>
      <c r="S7" t="s">
        <v>17</v>
      </c>
      <c r="T7">
        <v>347</v>
      </c>
      <c r="U7">
        <v>52</v>
      </c>
      <c r="W7" t="s">
        <v>17</v>
      </c>
      <c r="X7">
        <v>347</v>
      </c>
      <c r="Y7">
        <v>52</v>
      </c>
      <c r="AE7" t="s">
        <v>17</v>
      </c>
      <c r="AF7">
        <v>347</v>
      </c>
      <c r="AG7">
        <f>(Table59[[#This Row],[Samples]]/Table59[[#Totals],[Samples]])*100</f>
        <v>21.446229913473424</v>
      </c>
    </row>
    <row r="8" spans="2:33" x14ac:dyDescent="0.2">
      <c r="B8" t="s">
        <v>6</v>
      </c>
      <c r="C8">
        <v>2</v>
      </c>
      <c r="D8">
        <v>1675</v>
      </c>
      <c r="E8">
        <v>212</v>
      </c>
      <c r="AF8">
        <f>SUM(Table59[Samples])</f>
        <v>1618</v>
      </c>
      <c r="AG8">
        <f>SUM(Table59[Percent])</f>
        <v>100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 Ff</dc:creator>
  <cp:lastModifiedBy>Ff Ff</cp:lastModifiedBy>
  <dcterms:created xsi:type="dcterms:W3CDTF">2026-04-13T12:58:38Z</dcterms:created>
  <dcterms:modified xsi:type="dcterms:W3CDTF">2026-04-14T17:17:16Z</dcterms:modified>
</cp:coreProperties>
</file>