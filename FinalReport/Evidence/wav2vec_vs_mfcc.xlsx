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FinalReport/Evidence/"/>
    </mc:Choice>
  </mc:AlternateContent>
  <xr:revisionPtr revIDLastSave="0" documentId="13_ncr:1_{097B70FD-1339-C64F-B29F-58CF912393EE}" xr6:coauthVersionLast="47" xr6:coauthVersionMax="47" xr10:uidLastSave="{00000000-0000-0000-0000-000000000000}"/>
  <bookViews>
    <workbookView xWindow="2160" yWindow="2060" windowWidth="27240" windowHeight="16440" xr2:uid="{9FB7942C-3D07-AE46-963A-716438D520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7" i="1"/>
  <c r="G8" i="1"/>
  <c r="G9" i="1"/>
</calcChain>
</file>

<file path=xl/sharedStrings.xml><?xml version="1.0" encoding="utf-8"?>
<sst xmlns="http://schemas.openxmlformats.org/spreadsheetml/2006/main" count="13" uniqueCount="13">
  <si>
    <t>Wav2vec vs MFCC</t>
  </si>
  <si>
    <t>TASK</t>
  </si>
  <si>
    <t>MFCC BA</t>
  </si>
  <si>
    <t>MFCC F1</t>
  </si>
  <si>
    <t>Wav2Vec BA</t>
  </si>
  <si>
    <t>Wav2Vec F1</t>
  </si>
  <si>
    <t>4 Provinces (dail only)</t>
  </si>
  <si>
    <t>4 Provinces (dail and ni)</t>
  </si>
  <si>
    <t>dail vs ni</t>
  </si>
  <si>
    <t>leinster vs rest</t>
  </si>
  <si>
    <t>ulster leinster vs rest</t>
  </si>
  <si>
    <t>ulster vs rest</t>
  </si>
  <si>
    <t>BA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</si>
</sst>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F92EB6-4E2C-E14F-A798-1CD5BBFB705E}" name="Table1" displayName="Table1" ref="B3:G9" totalsRowShown="0">
  <tableColumns count="6">
    <tableColumn id="1" xr3:uid="{A609B868-A3B3-0548-ABE0-56D8B2C21991}" name="TASK"/>
    <tableColumn id="2" xr3:uid="{866AEE98-2742-CC40-BE12-BDFF1338B04E}" name="MFCC BA"/>
    <tableColumn id="3" xr3:uid="{57C39C17-1963-4748-927D-828698258DD5}" name="MFCC F1"/>
    <tableColumn id="4" xr3:uid="{EEB6D1FF-9807-064C-8D24-EF71E0500B20}" name="Wav2Vec BA"/>
    <tableColumn id="5" xr3:uid="{D58DF366-C45C-3E45-B5E8-4AFE844B57EA}" name="Wav2Vec F1"/>
    <tableColumn id="6" xr3:uid="{87A1D2D0-6557-214F-8752-0185B40D8A30}" name="BA Improvement" dataDxfId="0">
      <calculatedColumnFormula>Table1[[#This Row],[Wav2Vec BA]]-Table1[[#This Row],[MFCC BA]]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2BB9-CBE9-8249-9156-9CE0968A3A7C}">
  <dimension ref="A1:G9"/>
  <sheetViews>
    <sheetView tabSelected="1" zoomScale="144" workbookViewId="0">
      <selection activeCell="I9" sqref="I9"/>
    </sheetView>
  </sheetViews>
  <sheetFormatPr baseColWidth="10" defaultRowHeight="16" x14ac:dyDescent="0.2"/>
  <cols>
    <col min="2" max="2" width="20.33203125" bestFit="1" customWidth="1"/>
    <col min="3" max="3" width="11.1640625" customWidth="1"/>
    <col min="4" max="4" width="11" customWidth="1"/>
    <col min="5" max="5" width="13.5" customWidth="1"/>
    <col min="6" max="6" width="13.33203125" customWidth="1"/>
    <col min="7" max="7" width="15.83203125" customWidth="1"/>
  </cols>
  <sheetData>
    <row r="1" spans="1:7" x14ac:dyDescent="0.2">
      <c r="A1" t="s">
        <v>0</v>
      </c>
    </row>
    <row r="3" spans="1:7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12</v>
      </c>
    </row>
    <row r="4" spans="1:7" x14ac:dyDescent="0.2">
      <c r="B4" t="s">
        <v>6</v>
      </c>
      <c r="C4">
        <v>26.07</v>
      </c>
      <c r="D4">
        <v>23.65</v>
      </c>
    </row>
    <row r="5" spans="1:7" x14ac:dyDescent="0.2">
      <c r="B5" t="s">
        <v>7</v>
      </c>
      <c r="C5">
        <v>36.119999999999997</v>
      </c>
      <c r="D5">
        <v>34.78</v>
      </c>
      <c r="E5">
        <v>42.62</v>
      </c>
      <c r="F5">
        <v>41.16</v>
      </c>
      <c r="G5">
        <f>Table1[[#This Row],[Wav2Vec BA]]-Table1[[#This Row],[MFCC BA]]</f>
        <v>6.5</v>
      </c>
    </row>
    <row r="6" spans="1:7" x14ac:dyDescent="0.2">
      <c r="B6" t="s">
        <v>8</v>
      </c>
      <c r="C6">
        <v>70.06</v>
      </c>
      <c r="D6">
        <v>71.849999999999994</v>
      </c>
    </row>
    <row r="7" spans="1:7" x14ac:dyDescent="0.2">
      <c r="B7" t="s">
        <v>10</v>
      </c>
      <c r="C7">
        <v>47.73</v>
      </c>
      <c r="D7">
        <v>47.87</v>
      </c>
      <c r="E7">
        <v>55.15</v>
      </c>
      <c r="F7">
        <v>55.02</v>
      </c>
      <c r="G7">
        <f>Table1[[#This Row],[Wav2Vec BA]]-Table1[[#This Row],[MFCC BA]]</f>
        <v>7.4200000000000017</v>
      </c>
    </row>
    <row r="8" spans="1:7" x14ac:dyDescent="0.2">
      <c r="B8" t="s">
        <v>9</v>
      </c>
      <c r="C8">
        <v>56.08</v>
      </c>
      <c r="D8">
        <v>54.49</v>
      </c>
      <c r="E8">
        <v>61.82</v>
      </c>
      <c r="F8">
        <v>60.32</v>
      </c>
      <c r="G8">
        <f>Table1[[#This Row],[Wav2Vec BA]]-Table1[[#This Row],[MFCC BA]]</f>
        <v>5.740000000000002</v>
      </c>
    </row>
    <row r="9" spans="1:7" x14ac:dyDescent="0.2">
      <c r="B9" t="s">
        <v>11</v>
      </c>
      <c r="C9">
        <v>69.98</v>
      </c>
      <c r="D9">
        <v>69.84</v>
      </c>
      <c r="E9">
        <v>75.41</v>
      </c>
      <c r="F9">
        <v>76.48</v>
      </c>
      <c r="G9">
        <f>Table1[[#This Row],[Wav2Vec BA]]-Table1[[#This Row],[MFCC BA]]</f>
        <v>5.4299999999999926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2026-04-14T13:59:55Z</dcterms:created>
  <dcterms:modified xsi:type="dcterms:W3CDTF">2026-04-14T15:11:03Z</dcterms:modified>
</cp:coreProperties>
</file>