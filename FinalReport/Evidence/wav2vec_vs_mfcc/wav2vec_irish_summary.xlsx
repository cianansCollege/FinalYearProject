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tables/table10.xml" ContentType="application/vnd.openxmlformats-officedocument.spreadsheetml.tab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4.xml" ContentType="application/vnd.openxmlformats-officedocument.drawing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5.xml" ContentType="application/vnd.openxmlformats-officedocument.drawing+xml"/>
  <Override PartName="/xl/tables/table16.xml" ContentType="application/vnd.openxmlformats-officedocument.spreadsheetml.tab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ianan/Documents/College/GitHub/FYP/FinalReport/Evidence/wav2vec_vs_mfcc/"/>
    </mc:Choice>
  </mc:AlternateContent>
  <xr:revisionPtr revIDLastSave="0" documentId="13_ncr:1_{640B1513-AC2E-4848-8F93-05C07CC81049}" xr6:coauthVersionLast="47" xr6:coauthVersionMax="47" xr10:uidLastSave="{00000000-0000-0000-0000-000000000000}"/>
  <bookViews>
    <workbookView xWindow="0" yWindow="1960" windowWidth="34560" windowHeight="19960" activeTab="5" xr2:uid="{246BDAFC-0F62-D04B-9CBE-61D931EE4911}"/>
  </bookViews>
  <sheets>
    <sheet name="wav2vec_irish_summary" sheetId="1" r:id="rId1"/>
    <sheet name="Chart 1 - B.A. per Task" sheetId="2" r:id="rId2"/>
    <sheet name="Chart 2 - F1 per Task" sheetId="3" r:id="rId3"/>
    <sheet name=" Chart 3 — Accuracy vs Balanced" sheetId="4" r:id="rId4"/>
    <sheet name="Chart 4 - Average B.A. Per Task" sheetId="5" r:id="rId5"/>
    <sheet name="Chart 5 - Best Model Per Task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5" i="6" l="1"/>
  <c r="U4" i="6"/>
  <c r="U3" i="6"/>
  <c r="U2" i="6"/>
  <c r="V5" i="6"/>
  <c r="V4" i="6"/>
  <c r="V3" i="6"/>
  <c r="V2" i="6"/>
  <c r="N29" i="4"/>
  <c r="N28" i="4"/>
  <c r="N27" i="4"/>
  <c r="N26" i="4"/>
  <c r="N25" i="4"/>
  <c r="N24" i="4"/>
  <c r="N23" i="4"/>
  <c r="N22" i="4"/>
  <c r="N21" i="4"/>
  <c r="N20" i="4"/>
  <c r="N19" i="4"/>
  <c r="N18" i="4"/>
  <c r="N17" i="4"/>
  <c r="N16" i="4"/>
  <c r="N15" i="4"/>
  <c r="N14" i="4"/>
  <c r="N13" i="4"/>
  <c r="N12" i="4"/>
  <c r="N11" i="4"/>
  <c r="N10" i="4"/>
  <c r="N9" i="4"/>
  <c r="N8" i="4"/>
  <c r="N7" i="4"/>
  <c r="N6" i="4"/>
  <c r="N5" i="4"/>
  <c r="N4" i="4"/>
  <c r="N3" i="4"/>
  <c r="N2" i="4"/>
  <c r="E2" i="6"/>
  <c r="E4" i="6"/>
  <c r="E5" i="6"/>
  <c r="E3" i="6"/>
  <c r="Q4" i="6"/>
  <c r="Q5" i="6"/>
  <c r="Q3" i="6"/>
  <c r="O2" i="6"/>
  <c r="Q2" i="6" s="1"/>
  <c r="B5" i="5"/>
  <c r="B3" i="5"/>
  <c r="B2" i="5"/>
  <c r="B4" i="5"/>
  <c r="N9" i="5"/>
  <c r="O9" i="5"/>
  <c r="P9" i="5"/>
  <c r="M9" i="5"/>
  <c r="AD9" i="5"/>
  <c r="AE9" i="5"/>
  <c r="AF9" i="5"/>
  <c r="AC9" i="5"/>
  <c r="AT9" i="5"/>
  <c r="AU9" i="5"/>
  <c r="AV9" i="5"/>
  <c r="AS9" i="5"/>
  <c r="BI9" i="5"/>
  <c r="BJ9" i="5"/>
  <c r="BK9" i="5"/>
  <c r="BL9" i="5"/>
  <c r="Q8" i="5"/>
  <c r="Q7" i="5"/>
  <c r="Q6" i="5"/>
  <c r="Q5" i="5"/>
  <c r="Q4" i="5"/>
  <c r="Q3" i="5"/>
  <c r="Q2" i="5"/>
  <c r="N9" i="3"/>
  <c r="N8" i="3"/>
  <c r="N7" i="3"/>
  <c r="N4" i="3"/>
  <c r="N6" i="3"/>
  <c r="N5" i="3"/>
  <c r="N3" i="3"/>
  <c r="BJ2" i="3"/>
  <c r="BI2" i="3"/>
  <c r="BH2" i="3"/>
  <c r="BF2" i="3"/>
  <c r="N2" i="3"/>
  <c r="M2" i="3"/>
  <c r="L2" i="3"/>
  <c r="J2" i="3"/>
  <c r="BJ2" i="2"/>
  <c r="BI2" i="2"/>
  <c r="BH2" i="2"/>
  <c r="BF2" i="2"/>
  <c r="J2" i="2"/>
  <c r="L2" i="2"/>
  <c r="M2" i="2"/>
  <c r="N3" i="2"/>
  <c r="N4" i="2"/>
  <c r="N5" i="2"/>
  <c r="N6" i="2"/>
  <c r="N7" i="2"/>
  <c r="N8" i="2"/>
  <c r="N9" i="2"/>
  <c r="N2" i="2"/>
  <c r="N2" i="1" l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</calcChain>
</file>

<file path=xl/sharedStrings.xml><?xml version="1.0" encoding="utf-8"?>
<sst xmlns="http://schemas.openxmlformats.org/spreadsheetml/2006/main" count="1189" uniqueCount="60">
  <si>
    <t>task_name</t>
  </si>
  <si>
    <t>model_name</t>
  </si>
  <si>
    <t>n_samples</t>
  </si>
  <si>
    <t>n_speakers</t>
  </si>
  <si>
    <t>n_classes</t>
  </si>
  <si>
    <t>class_counts</t>
  </si>
  <si>
    <t>label_classes</t>
  </si>
  <si>
    <t>accuracy_mean</t>
  </si>
  <si>
    <t>accuracy_std</t>
  </si>
  <si>
    <t>balanced_accuracy_mean</t>
  </si>
  <si>
    <t>macro_f1_mean</t>
  </si>
  <si>
    <t>leinster_vs_rest</t>
  </si>
  <si>
    <t>logreg_weighted</t>
  </si>
  <si>
    <t>{'Rest': 1137, 'Leinster': 481}</t>
  </si>
  <si>
    <t>['Leinster', 'Rest']</t>
  </si>
  <si>
    <t>logreg</t>
  </si>
  <si>
    <t>svm_linear</t>
  </si>
  <si>
    <t>nb</t>
  </si>
  <si>
    <t>svm_rbf</t>
  </si>
  <si>
    <t>knn_k5</t>
  </si>
  <si>
    <t>rf</t>
  </si>
  <si>
    <t>province_4way</t>
  </si>
  <si>
    <t>{'Ulster': 541, 'Leinster': 481, 'Munster': 347, 'Connacht': 249}</t>
  </si>
  <si>
    <t>['Connacht', 'Leinster', 'Munster', 'Ulster']</t>
  </si>
  <si>
    <t>ulster_leinster_rest</t>
  </si>
  <si>
    <t>{'Rest': 596, 'Ulster': 541, 'Leinster': 481}</t>
  </si>
  <si>
    <t>['Leinster', 'Rest', 'Ulster']</t>
  </si>
  <si>
    <t>ulster_vs_rest</t>
  </si>
  <si>
    <t>{'Rest': 1077, 'Ulster': 541}</t>
  </si>
  <si>
    <t>['Rest', 'Ulster']</t>
  </si>
  <si>
    <t>baseline</t>
  </si>
  <si>
    <t>model_name_better</t>
  </si>
  <si>
    <t>task_name_better</t>
  </si>
  <si>
    <t>Binary Classification: Leinster vs Rest</t>
  </si>
  <si>
    <t>Leinster vs Rest</t>
  </si>
  <si>
    <t>Logistic Regression</t>
  </si>
  <si>
    <t>SVM (Linear)</t>
  </si>
  <si>
    <t>Logistic Regression (Weighted)</t>
  </si>
  <si>
    <t>Naive Bayes</t>
  </si>
  <si>
    <t>SVM (RBF Kernel)</t>
  </si>
  <si>
    <t>k-NN (k=5)</t>
  </si>
  <si>
    <t>Random Forest</t>
  </si>
  <si>
    <t>Multi-Class Classification: Four Provinces</t>
  </si>
  <si>
    <t>Multi-Class Classification: Ulster, Leinster, and Rest</t>
  </si>
  <si>
    <t>Binary Classification: Ulster vs Rest</t>
  </si>
  <si>
    <t xml:space="preserve"> </t>
  </si>
  <si>
    <t>RandomBaseline</t>
  </si>
  <si>
    <t>Random Baseline</t>
  </si>
  <si>
    <t>baseline_flag</t>
  </si>
  <si>
    <t xml:space="preserve">Logistic Regression </t>
  </si>
  <si>
    <t>VM (RBF Kernel)</t>
  </si>
  <si>
    <t>Naive BayesS</t>
  </si>
  <si>
    <t>average_balanced_accuracy</t>
  </si>
  <si>
    <t>RelativeImprovement</t>
  </si>
  <si>
    <t>task_model_better</t>
  </si>
  <si>
    <t>Ulster, Leinster, and Rest</t>
  </si>
  <si>
    <t>Four Provinces</t>
  </si>
  <si>
    <t>Ulster vs Rest</t>
  </si>
  <si>
    <t>RelativeImprovement Wav2vec</t>
  </si>
  <si>
    <t>RelativeImprovement MFCC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</si>
</sst>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ck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3">
    <xf numFmtId="0" fontId="0" fillId="0" borderId="0" xfId="0"/>
    <xf numFmtId="0" fontId="0" fillId="34" borderId="13" xfId="0" applyFill="1" applyBorder="1"/>
    <xf numFmtId="0" fontId="0" fillId="35" borderId="13" xfId="0" applyFill="1" applyBorder="1"/>
    <xf numFmtId="0" fontId="13" fillId="33" borderId="16" xfId="0" applyFont="1" applyFill="1" applyBorder="1"/>
    <xf numFmtId="2" fontId="0" fillId="0" borderId="0" xfId="0" applyNumberFormat="1"/>
    <xf numFmtId="0" fontId="0" fillId="0" borderId="0" xfId="0" quotePrefix="1"/>
    <xf numFmtId="10" fontId="0" fillId="0" borderId="0" xfId="0" applyNumberFormat="1"/>
    <xf numFmtId="10" fontId="0" fillId="0" borderId="0" xfId="0" quotePrefix="1" applyNumberFormat="1"/>
    <xf numFmtId="0" fontId="0" fillId="0" borderId="12" xfId="0" applyBorder="1"/>
    <xf numFmtId="0" fontId="13" fillId="0" borderId="10" xfId="0" applyFont="1" applyBorder="1"/>
    <xf numFmtId="0" fontId="13" fillId="0" borderId="11" xfId="0" applyFont="1" applyBorder="1"/>
    <xf numFmtId="0" fontId="13" fillId="0" borderId="16" xfId="0" applyFont="1" applyBorder="1"/>
    <xf numFmtId="0" fontId="0" fillId="0" borderId="13" xfId="0" applyBorder="1"/>
    <xf numFmtId="10" fontId="0" fillId="0" borderId="13" xfId="0" applyNumberFormat="1" applyBorder="1"/>
    <xf numFmtId="2" fontId="0" fillId="0" borderId="13" xfId="0" applyNumberFormat="1" applyBorder="1"/>
    <xf numFmtId="10" fontId="0" fillId="0" borderId="13" xfId="0" quotePrefix="1" applyNumberFormat="1" applyBorder="1"/>
    <xf numFmtId="10" fontId="0" fillId="0" borderId="17" xfId="0" applyNumberFormat="1" applyBorder="1"/>
    <xf numFmtId="0" fontId="0" fillId="0" borderId="15" xfId="0" applyBorder="1"/>
    <xf numFmtId="0" fontId="0" fillId="0" borderId="13" xfId="0" quotePrefix="1" applyBorder="1"/>
    <xf numFmtId="0" fontId="0" fillId="0" borderId="14" xfId="0" applyBorder="1"/>
    <xf numFmtId="10" fontId="0" fillId="0" borderId="15" xfId="0" quotePrefix="1" applyNumberFormat="1" applyBorder="1"/>
    <xf numFmtId="10" fontId="0" fillId="0" borderId="18" xfId="0" applyNumberFormat="1" applyBorder="1"/>
    <xf numFmtId="0" fontId="0" fillId="0" borderId="17" xfId="0" applyBorder="1"/>
    <xf numFmtId="0" fontId="0" fillId="0" borderId="18" xfId="0" applyBorder="1"/>
    <xf numFmtId="2" fontId="0" fillId="0" borderId="15" xfId="0" applyNumberFormat="1" applyBorder="1"/>
    <xf numFmtId="10" fontId="0" fillId="0" borderId="15" xfId="0" applyNumberFormat="1" applyBorder="1"/>
    <xf numFmtId="0" fontId="13" fillId="0" borderId="0" xfId="0" applyFont="1"/>
    <xf numFmtId="2" fontId="0" fillId="0" borderId="19" xfId="0" applyNumberFormat="1" applyBorder="1"/>
    <xf numFmtId="10" fontId="0" fillId="0" borderId="18" xfId="0" quotePrefix="1" applyNumberFormat="1" applyBorder="1"/>
    <xf numFmtId="0" fontId="13" fillId="33" borderId="0" xfId="0" applyFont="1" applyFill="1"/>
    <xf numFmtId="0" fontId="13" fillId="33" borderId="20" xfId="0" applyFont="1" applyFill="1" applyBorder="1"/>
    <xf numFmtId="0" fontId="13" fillId="0" borderId="20" xfId="0" applyFont="1" applyBorder="1"/>
    <xf numFmtId="0" fontId="0" fillId="0" borderId="21" xfId="0" applyBorder="1"/>
    <xf numFmtId="0" fontId="0" fillId="0" borderId="22" xfId="0" applyBorder="1"/>
    <xf numFmtId="10" fontId="0" fillId="0" borderId="22" xfId="0" applyNumberFormat="1" applyBorder="1"/>
    <xf numFmtId="0" fontId="0" fillId="0" borderId="23" xfId="0" applyBorder="1"/>
    <xf numFmtId="2" fontId="0" fillId="0" borderId="18" xfId="0" applyNumberFormat="1" applyBorder="1"/>
    <xf numFmtId="0" fontId="0" fillId="0" borderId="24" xfId="0" applyBorder="1"/>
    <xf numFmtId="2" fontId="0" fillId="0" borderId="17" xfId="0" applyNumberFormat="1" applyBorder="1"/>
    <xf numFmtId="10" fontId="13" fillId="33" borderId="13" xfId="0" applyNumberFormat="1" applyFont="1" applyFill="1" applyBorder="1"/>
    <xf numFmtId="10" fontId="13" fillId="33" borderId="15" xfId="0" applyNumberFormat="1" applyFont="1" applyFill="1" applyBorder="1"/>
    <xf numFmtId="10" fontId="0" fillId="0" borderId="20" xfId="0" applyNumberFormat="1" applyBorder="1"/>
    <xf numFmtId="0" fontId="0" fillId="0" borderId="15" xfId="0" applyBorder="1" applyAlignment="1">
      <alignment wrapText="1"/>
    </xf>
    <xf numFmtId="0" fontId="0" fillId="0" borderId="14" xfId="0" applyBorder="1" applyAlignment="1">
      <alignment wrapText="1"/>
    </xf>
    <xf numFmtId="0" fontId="0" fillId="0" borderId="13" xfId="0" applyBorder="1" applyAlignment="1">
      <alignment wrapText="1"/>
    </xf>
    <xf numFmtId="10" fontId="0" fillId="0" borderId="17" xfId="0" quotePrefix="1" applyNumberFormat="1" applyBorder="1"/>
    <xf numFmtId="0" fontId="13" fillId="33" borderId="11" xfId="0" applyFont="1" applyFill="1" applyBorder="1"/>
    <xf numFmtId="10" fontId="0" fillId="34" borderId="17" xfId="0" applyNumberFormat="1" applyFont="1" applyFill="1" applyBorder="1"/>
    <xf numFmtId="10" fontId="0" fillId="35" borderId="17" xfId="0" applyNumberFormat="1" applyFont="1" applyFill="1" applyBorder="1"/>
    <xf numFmtId="10" fontId="0" fillId="35" borderId="18" xfId="0" applyNumberFormat="1" applyFont="1" applyFill="1" applyBorder="1"/>
    <xf numFmtId="0" fontId="0" fillId="34" borderId="13" xfId="0" applyFont="1" applyFill="1" applyBorder="1" applyAlignment="1">
      <alignment wrapText="1"/>
    </xf>
    <xf numFmtId="0" fontId="0" fillId="35" borderId="13" xfId="0" applyFont="1" applyFill="1" applyBorder="1" applyAlignment="1">
      <alignment wrapText="1"/>
    </xf>
    <xf numFmtId="10" fontId="0" fillId="34" borderId="17" xfId="0" applyNumberForma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15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numFmt numFmtId="14" formatCode="0.00%"/>
      <fill>
        <patternFill patternType="solid">
          <fgColor theme="4"/>
          <bgColor theme="4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/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0"/>
        </top>
        <bottom/>
        <vertical/>
        <horizontal/>
      </border>
    </dxf>
    <dxf>
      <border outline="0">
        <right style="thin">
          <color theme="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/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0"/>
        </top>
        <bottom style="thin">
          <color theme="0"/>
        </bottom>
        <vertical/>
        <horizontal/>
      </border>
    </dxf>
    <dxf>
      <border outline="0">
        <right style="thin">
          <color theme="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/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0"/>
        </top>
        <bottom style="thin">
          <color theme="0"/>
        </bottom>
        <vertical/>
        <horizontal/>
      </border>
    </dxf>
    <dxf>
      <border outline="0">
        <right style="thin">
          <color theme="0"/>
        </right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/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/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top style="thin">
          <color theme="0"/>
        </top>
      </border>
    </dxf>
    <dxf>
      <border outline="0"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numFmt numFmtId="14" formatCode="0.00%"/>
    </dxf>
    <dxf>
      <numFmt numFmtId="14" formatCode="0.00%"/>
    </dxf>
    <dxf>
      <numFmt numFmtId="14" formatCode="0.00%"/>
    </dxf>
    <dxf>
      <numFmt numFmtId="2" formatCode="0.00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0"/>
        </top>
        <bottom/>
        <vertical/>
        <horizontal/>
      </border>
    </dxf>
    <dxf>
      <border outline="0">
        <right style="thin">
          <color rgb="FFFFFFFF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0"/>
        </top>
        <bottom style="thin">
          <color theme="0"/>
        </bottom>
        <vertical/>
        <horizontal/>
      </border>
    </dxf>
    <dxf>
      <border outline="0">
        <right style="thin">
          <color rgb="FFFFFFFF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0"/>
        </top>
        <bottom style="thin">
          <color theme="0"/>
        </bottom>
        <vertical/>
        <horizontal/>
      </border>
    </dxf>
    <dxf>
      <border outline="0">
        <right style="thin">
          <color rgb="FFFFFFFF"/>
        </right>
        <bottom style="thin">
          <color rgb="FFFFFFF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top style="thin">
          <color rgb="FFFFFFFF"/>
        </top>
      </border>
    </dxf>
    <dxf>
      <border outline="0">
        <bottom style="thin">
          <color rgb="FFFFFFF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fill>
        <patternFill patternType="none">
          <fgColor rgb="FF000000"/>
          <bgColor rgb="FFFFFFFF"/>
        </patternFill>
      </fill>
    </dxf>
    <dxf>
      <border outline="0">
        <bottom style="thick">
          <color rgb="FFFFFFF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0"/>
        </top>
        <bottom/>
        <vertical/>
        <horizontal/>
      </border>
    </dxf>
    <dxf>
      <border outline="0">
        <right style="thin">
          <color theme="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0"/>
        </top>
        <bottom style="thin">
          <color theme="0"/>
        </bottom>
        <vertical/>
        <horizontal/>
      </border>
    </dxf>
    <dxf>
      <border outline="0">
        <right style="thin">
          <color theme="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0"/>
        </top>
        <bottom style="thin">
          <color theme="0"/>
        </bottom>
        <vertical/>
        <horizontal/>
      </border>
    </dxf>
    <dxf>
      <border outline="0">
        <right style="thin">
          <color theme="0"/>
        </right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top style="thin">
          <color theme="0"/>
        </top>
      </border>
    </dxf>
    <dxf>
      <border outline="0"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numFmt numFmtId="14" formatCode="0.00%"/>
    </dxf>
    <dxf>
      <numFmt numFmtId="14" formatCode="0.00%"/>
    </dxf>
    <dxf>
      <numFmt numFmtId="14" formatCode="0.00%"/>
    </dxf>
    <dxf>
      <numFmt numFmtId="2" formatCode="0.00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 style="thin">
          <color theme="0"/>
        </right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</dxfs>
  <tableStyles count="0" defaultTableStyle="TableStyleMedium2" defaultPivotStyle="PivotStyleLight16"/>
  <colors>
    <mruColors>
      <color rgb="FF595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1"/>
              <a:t>Wav2Vec</a:t>
            </a:r>
            <a:r>
              <a:rPr lang="en-US" sz="1400" b="1" baseline="0"/>
              <a:t> -</a:t>
            </a:r>
            <a:r>
              <a:rPr lang="en-US" sz="1400" b="1"/>
              <a:t> </a:t>
            </a:r>
            <a:r>
              <a:rPr lang="en-IE" sz="1400" b="1" i="0" u="none" strike="noStrike">
                <a:effectLst/>
              </a:rPr>
              <a:t>Binary Classification: Leinster vs Rest</a:t>
            </a:r>
            <a:r>
              <a:rPr lang="en-IE" sz="1400" b="1">
                <a:effectLst/>
              </a:rPr>
              <a:t> 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b="1"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r>
              <a:rPr lang="en-US" sz="1400" b="1" baseline="0"/>
              <a:t> </a:t>
            </a:r>
            <a:endParaRPr lang="en-US" sz="14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'Chart 1 - B.A. per Task'!$L$1</c:f>
              <c:strCache>
                <c:ptCount val="1"/>
                <c:pt idx="0">
                  <c:v>balanced_accuracy_mean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alpha val="5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FC62-154A-ADEF-BDD79FEF1A90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D-FC62-154A-ADEF-BDD79FEF1A9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1 - B.A. per Task'!$D$2:$D$9</c:f>
              <c:strCache>
                <c:ptCount val="8"/>
                <c:pt idx="0">
                  <c:v>Random Baseline</c:v>
                </c:pt>
                <c:pt idx="1">
                  <c:v>Random Forest</c:v>
                </c:pt>
                <c:pt idx="2">
                  <c:v>k-NN (k=5)</c:v>
                </c:pt>
                <c:pt idx="3">
                  <c:v>SVM (RBF Kernel)</c:v>
                </c:pt>
                <c:pt idx="4">
                  <c:v>Naive Bayes</c:v>
                </c:pt>
                <c:pt idx="5">
                  <c:v>SVM (Linear)</c:v>
                </c:pt>
                <c:pt idx="6">
                  <c:v>Logistic Regression</c:v>
                </c:pt>
                <c:pt idx="7">
                  <c:v>Logistic Regression (Weighted)</c:v>
                </c:pt>
              </c:strCache>
            </c:strRef>
          </c:cat>
          <c:val>
            <c:numRef>
              <c:f>'Chart 1 - B.A. per Task'!$L$2:$L$9</c:f>
              <c:numCache>
                <c:formatCode>0.00%</c:formatCode>
                <c:ptCount val="8"/>
                <c:pt idx="0">
                  <c:v>0.5</c:v>
                </c:pt>
                <c:pt idx="1">
                  <c:v>0.52727467775039505</c:v>
                </c:pt>
                <c:pt idx="2">
                  <c:v>0.56095113331150204</c:v>
                </c:pt>
                <c:pt idx="3">
                  <c:v>0.59407242140559602</c:v>
                </c:pt>
                <c:pt idx="4">
                  <c:v>0.63461141862729398</c:v>
                </c:pt>
                <c:pt idx="5">
                  <c:v>0.66079154974212795</c:v>
                </c:pt>
                <c:pt idx="6">
                  <c:v>0.66886235312724296</c:v>
                </c:pt>
                <c:pt idx="7">
                  <c:v>0.68096475492059005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62-154A-ADEF-BDD79FEF1A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242072736"/>
        <c:axId val="242074448"/>
      </c:barChart>
      <c:catAx>
        <c:axId val="2420727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50"/>
                  <a:t>Model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074448"/>
        <c:crosses val="autoZero"/>
        <c:auto val="1"/>
        <c:lblAlgn val="ctr"/>
        <c:lblOffset val="100"/>
        <c:noMultiLvlLbl val="0"/>
      </c:catAx>
      <c:valAx>
        <c:axId val="242074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50"/>
                  <a:t>Balanced</a:t>
                </a:r>
                <a:r>
                  <a:rPr lang="en-GB" sz="1050" baseline="0"/>
                  <a:t> Accuracy</a:t>
                </a:r>
                <a:endParaRPr lang="en-GB" sz="105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072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1"/>
              <a:t>Wav2Vec - Multi-Class Classification: Four Provinces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b="1"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r>
              <a:rPr lang="en-IE" sz="1400" b="1">
                <a:effectLst/>
              </a:rPr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'Chart 1 - B.A. per Task'!$L$1</c:f>
              <c:strCache>
                <c:ptCount val="1"/>
                <c:pt idx="0">
                  <c:v>balanced_accuracy_mean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alpha val="5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0AB-2141-A44E-4436FFF44D39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C0AB-2141-A44E-4436FFF44D3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1 - B.A. per Task'!$T$2:$T$9</c:f>
              <c:strCache>
                <c:ptCount val="8"/>
                <c:pt idx="0">
                  <c:v>Random Baseline</c:v>
                </c:pt>
                <c:pt idx="1">
                  <c:v>Naive BayesS</c:v>
                </c:pt>
                <c:pt idx="2">
                  <c:v>k-NN (k=5)</c:v>
                </c:pt>
                <c:pt idx="3">
                  <c:v>Random Forest</c:v>
                </c:pt>
                <c:pt idx="4">
                  <c:v>VM (RBF Kernel)</c:v>
                </c:pt>
                <c:pt idx="5">
                  <c:v>SVM (Linear)</c:v>
                </c:pt>
                <c:pt idx="6">
                  <c:v>Logistic Regression (Weighted)</c:v>
                </c:pt>
                <c:pt idx="7">
                  <c:v>Logistic Regression </c:v>
                </c:pt>
              </c:strCache>
            </c:strRef>
          </c:cat>
          <c:val>
            <c:numRef>
              <c:f>'Chart 1 - B.A. per Task'!$AB$2:$AB$9</c:f>
              <c:numCache>
                <c:formatCode>0.00%</c:formatCode>
                <c:ptCount val="8"/>
                <c:pt idx="0">
                  <c:v>0.25</c:v>
                </c:pt>
                <c:pt idx="1">
                  <c:v>0.34600743784042298</c:v>
                </c:pt>
                <c:pt idx="2">
                  <c:v>0.40138932958574802</c:v>
                </c:pt>
                <c:pt idx="3">
                  <c:v>0.42738905927207199</c:v>
                </c:pt>
                <c:pt idx="4">
                  <c:v>0.43275156795208303</c:v>
                </c:pt>
                <c:pt idx="5">
                  <c:v>0.44647137940092102</c:v>
                </c:pt>
                <c:pt idx="6">
                  <c:v>0.46321433535467899</c:v>
                </c:pt>
                <c:pt idx="7">
                  <c:v>0.46598062321780598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AB-2141-A44E-4436FFF44D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242072736"/>
        <c:axId val="242074448"/>
      </c:barChart>
      <c:catAx>
        <c:axId val="2420727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50"/>
                  <a:t>Model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074448"/>
        <c:crosses val="autoZero"/>
        <c:auto val="1"/>
        <c:lblAlgn val="ctr"/>
        <c:lblOffset val="100"/>
        <c:noMultiLvlLbl val="0"/>
      </c:catAx>
      <c:valAx>
        <c:axId val="242074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5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Balanced 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072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1"/>
              <a:t>Wav2Vec - </a:t>
            </a:r>
            <a:r>
              <a:rPr lang="en-IE" sz="1400" b="1" i="0" u="none" strike="noStrike">
                <a:effectLst/>
              </a:rPr>
              <a:t>Multi-Class Classification: Ulster, Leinster, and Rest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b="1"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r>
              <a:rPr lang="en-IE" sz="1400" b="1">
                <a:effectLst/>
              </a:rPr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'Chart 1 - B.A. per Task'!$L$1</c:f>
              <c:strCache>
                <c:ptCount val="1"/>
                <c:pt idx="0">
                  <c:v>balanced_accuracy_mean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alpha val="5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269-9B46-B56C-A378091A0E85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0269-9B46-B56C-A378091A0E8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1 - B.A. per Task'!$AJ$2:$AJ$9</c:f>
              <c:strCache>
                <c:ptCount val="8"/>
                <c:pt idx="0">
                  <c:v>Random Baseline</c:v>
                </c:pt>
                <c:pt idx="1">
                  <c:v>Naive Bayes</c:v>
                </c:pt>
                <c:pt idx="2">
                  <c:v>k-NN (k=5)</c:v>
                </c:pt>
                <c:pt idx="3">
                  <c:v>SVM (RBF Kernel)</c:v>
                </c:pt>
                <c:pt idx="4">
                  <c:v>Random Forest</c:v>
                </c:pt>
                <c:pt idx="5">
                  <c:v>SVM (Linear)</c:v>
                </c:pt>
                <c:pt idx="6">
                  <c:v>Logistic Regression (Weighted)</c:v>
                </c:pt>
                <c:pt idx="7">
                  <c:v>Logistic Regression </c:v>
                </c:pt>
              </c:strCache>
            </c:strRef>
          </c:cat>
          <c:val>
            <c:numRef>
              <c:f>'Chart 1 - B.A. per Task'!$AR$2:$AR$9</c:f>
              <c:numCache>
                <c:formatCode>0.00%</c:formatCode>
                <c:ptCount val="8"/>
                <c:pt idx="0">
                  <c:v>0.33333333333333331</c:v>
                </c:pt>
                <c:pt idx="1">
                  <c:v>0.48518171056732601</c:v>
                </c:pt>
                <c:pt idx="2">
                  <c:v>0.49899361049026902</c:v>
                </c:pt>
                <c:pt idx="3">
                  <c:v>0.55403442293585503</c:v>
                </c:pt>
                <c:pt idx="4">
                  <c:v>0.56339272499384196</c:v>
                </c:pt>
                <c:pt idx="5">
                  <c:v>0.56600412465205296</c:v>
                </c:pt>
                <c:pt idx="6">
                  <c:v>0.59603293290926296</c:v>
                </c:pt>
                <c:pt idx="7">
                  <c:v>0.59669754106231598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269-9B46-B56C-A378091A0E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242072736"/>
        <c:axId val="242074448"/>
      </c:barChart>
      <c:catAx>
        <c:axId val="2420727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50"/>
                  <a:t>Model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074448"/>
        <c:crosses val="autoZero"/>
        <c:auto val="1"/>
        <c:lblAlgn val="ctr"/>
        <c:lblOffset val="100"/>
        <c:noMultiLvlLbl val="0"/>
      </c:catAx>
      <c:valAx>
        <c:axId val="242074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5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Balanced 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072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1"/>
              <a:t>Wav2Vec - </a:t>
            </a:r>
            <a:r>
              <a:rPr lang="en-IE" sz="1400" b="1" i="0" u="none" strike="noStrike">
                <a:effectLst/>
              </a:rPr>
              <a:t>Binary Classification: Ulster vs Rest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b="1"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r>
              <a:rPr lang="en-IE" sz="1400" b="1">
                <a:effectLst/>
              </a:rPr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'Chart 1 - B.A. per Task'!$L$1</c:f>
              <c:strCache>
                <c:ptCount val="1"/>
                <c:pt idx="0">
                  <c:v>balanced_accuracy_mean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alpha val="5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A3E-6248-B8FB-686B8575A376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5A3E-6248-B8FB-686B8575A37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1 - B.A. per Task'!$AY$2:$AY$9</c:f>
              <c:strCache>
                <c:ptCount val="8"/>
                <c:pt idx="0">
                  <c:v>RandomBaseline</c:v>
                </c:pt>
                <c:pt idx="1">
                  <c:v>knn_k5</c:v>
                </c:pt>
                <c:pt idx="2">
                  <c:v>svm_linear</c:v>
                </c:pt>
                <c:pt idx="3">
                  <c:v>nb</c:v>
                </c:pt>
                <c:pt idx="4">
                  <c:v>logreg_weighted</c:v>
                </c:pt>
                <c:pt idx="5">
                  <c:v>logreg</c:v>
                </c:pt>
                <c:pt idx="6">
                  <c:v>svm_rbf</c:v>
                </c:pt>
                <c:pt idx="7">
                  <c:v>rf</c:v>
                </c:pt>
              </c:strCache>
            </c:strRef>
          </c:cat>
          <c:val>
            <c:numRef>
              <c:f>'Chart 1 - B.A. per Task'!$BH$2:$BH$9</c:f>
              <c:numCache>
                <c:formatCode>0.00%</c:formatCode>
                <c:ptCount val="8"/>
                <c:pt idx="0">
                  <c:v>0.5</c:v>
                </c:pt>
                <c:pt idx="1">
                  <c:v>0.72445507070771498</c:v>
                </c:pt>
                <c:pt idx="2">
                  <c:v>0.73758878814847895</c:v>
                </c:pt>
                <c:pt idx="3">
                  <c:v>0.74830879405952799</c:v>
                </c:pt>
                <c:pt idx="4">
                  <c:v>0.75555353129440495</c:v>
                </c:pt>
                <c:pt idx="5">
                  <c:v>0.76027707711460102</c:v>
                </c:pt>
                <c:pt idx="6">
                  <c:v>0.76782466220649703</c:v>
                </c:pt>
                <c:pt idx="7">
                  <c:v>0.78437523129269904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A3E-6248-B8FB-686B8575A3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242072736"/>
        <c:axId val="242074448"/>
      </c:barChart>
      <c:catAx>
        <c:axId val="2420727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50"/>
                  <a:t>Model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074448"/>
        <c:crosses val="autoZero"/>
        <c:auto val="1"/>
        <c:lblAlgn val="ctr"/>
        <c:lblOffset val="100"/>
        <c:noMultiLvlLbl val="0"/>
      </c:catAx>
      <c:valAx>
        <c:axId val="242074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5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Balanced 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072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1"/>
              <a:t>Wav2Vec</a:t>
            </a:r>
            <a:r>
              <a:rPr lang="en-US" sz="1400" b="1" baseline="0"/>
              <a:t> -</a:t>
            </a:r>
            <a:r>
              <a:rPr lang="en-US" sz="1400" b="1"/>
              <a:t> </a:t>
            </a:r>
            <a:r>
              <a:rPr lang="en-IE" sz="1400" b="1" i="0" u="none" strike="noStrike">
                <a:effectLst/>
              </a:rPr>
              <a:t>Binary Classification: Leinster vs Rest</a:t>
            </a:r>
            <a:r>
              <a:rPr lang="en-IE" sz="1400" b="1">
                <a:effectLst/>
              </a:rPr>
              <a:t> 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b="1"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r>
              <a:rPr lang="en-US" sz="1400" b="1" baseline="0"/>
              <a:t> </a:t>
            </a:r>
            <a:endParaRPr lang="en-US" sz="14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'Chart 2 - F1 per Task'!$L$1</c:f>
              <c:strCache>
                <c:ptCount val="1"/>
                <c:pt idx="0">
                  <c:v>balanced_accuracy_mean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alpha val="5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CD8-8F42-B73E-C557DE62F1C6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8CD8-8F42-B73E-C557DE62F1C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2 - F1 per Task'!$D$2:$D$9</c:f>
              <c:strCache>
                <c:ptCount val="8"/>
                <c:pt idx="0">
                  <c:v>Random Baseline</c:v>
                </c:pt>
                <c:pt idx="1">
                  <c:v>Random Forest</c:v>
                </c:pt>
                <c:pt idx="2">
                  <c:v>Naive Bayes</c:v>
                </c:pt>
                <c:pt idx="3">
                  <c:v>k-NN (k=5)</c:v>
                </c:pt>
                <c:pt idx="4">
                  <c:v>SVM (RBF Kernel)</c:v>
                </c:pt>
                <c:pt idx="5">
                  <c:v>SVM (Linear)</c:v>
                </c:pt>
                <c:pt idx="6">
                  <c:v>Logistic Regression</c:v>
                </c:pt>
                <c:pt idx="7">
                  <c:v>Logistic Regression (Weighted)</c:v>
                </c:pt>
              </c:strCache>
            </c:strRef>
          </c:cat>
          <c:val>
            <c:numRef>
              <c:f>'Chart 2 - F1 per Task'!$M$2:$M$9</c:f>
              <c:numCache>
                <c:formatCode>0.00%</c:formatCode>
                <c:ptCount val="8"/>
                <c:pt idx="0">
                  <c:v>0.5</c:v>
                </c:pt>
                <c:pt idx="1">
                  <c:v>0.52276208318990802</c:v>
                </c:pt>
                <c:pt idx="2">
                  <c:v>0.55137596337485495</c:v>
                </c:pt>
                <c:pt idx="3">
                  <c:v>0.55796863691364196</c:v>
                </c:pt>
                <c:pt idx="4">
                  <c:v>0.60234304846693698</c:v>
                </c:pt>
                <c:pt idx="5">
                  <c:v>0.65547093403319201</c:v>
                </c:pt>
                <c:pt idx="6">
                  <c:v>0.66418586317788497</c:v>
                </c:pt>
                <c:pt idx="7">
                  <c:v>0.66823070364772896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D8-8F42-B73E-C557DE62F1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242072736"/>
        <c:axId val="242074448"/>
      </c:barChart>
      <c:catAx>
        <c:axId val="2420727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5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Model</a:t>
                </a:r>
                <a:endParaRPr lang="en-GB" sz="105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074448"/>
        <c:crosses val="autoZero"/>
        <c:auto val="1"/>
        <c:lblAlgn val="ctr"/>
        <c:lblOffset val="100"/>
        <c:noMultiLvlLbl val="0"/>
      </c:catAx>
      <c:valAx>
        <c:axId val="242074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5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Macro F1 Mean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072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1"/>
              <a:t>Wav2Vec - Multi-Class Classification: Four Provinces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b="1"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r>
              <a:rPr lang="en-IE" sz="1400" b="1">
                <a:effectLst/>
              </a:rPr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'Chart 2 - F1 per Task'!$L$1</c:f>
              <c:strCache>
                <c:ptCount val="1"/>
                <c:pt idx="0">
                  <c:v>balanced_accuracy_mean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alpha val="5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C46-964C-A40B-50B0C256F8CD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5C46-964C-A40B-50B0C256F8C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2 - F1 per Task'!$T$2:$T$9</c:f>
              <c:strCache>
                <c:ptCount val="8"/>
                <c:pt idx="0">
                  <c:v>Random Baseline</c:v>
                </c:pt>
                <c:pt idx="1">
                  <c:v>Naive BayesS</c:v>
                </c:pt>
                <c:pt idx="2">
                  <c:v>Random Forest</c:v>
                </c:pt>
                <c:pt idx="3">
                  <c:v>k-NN (k=5)</c:v>
                </c:pt>
                <c:pt idx="4">
                  <c:v>VM (RBF Kernel)</c:v>
                </c:pt>
                <c:pt idx="5">
                  <c:v>SVM (Linear)</c:v>
                </c:pt>
                <c:pt idx="6">
                  <c:v>Logistic Regression (Weighted)</c:v>
                </c:pt>
                <c:pt idx="7">
                  <c:v>Logistic Regression </c:v>
                </c:pt>
              </c:strCache>
            </c:strRef>
          </c:cat>
          <c:val>
            <c:numRef>
              <c:f>'Chart 2 - F1 per Task'!$AC$2:$AC$9</c:f>
              <c:numCache>
                <c:formatCode>0.00%</c:formatCode>
                <c:ptCount val="8"/>
                <c:pt idx="0">
                  <c:v>0.25</c:v>
                </c:pt>
                <c:pt idx="1">
                  <c:v>0.33821618650250601</c:v>
                </c:pt>
                <c:pt idx="2">
                  <c:v>0.377369354154938</c:v>
                </c:pt>
                <c:pt idx="3">
                  <c:v>0.39808607188970002</c:v>
                </c:pt>
                <c:pt idx="4">
                  <c:v>0.40462465246836699</c:v>
                </c:pt>
                <c:pt idx="5">
                  <c:v>0.44383701982738799</c:v>
                </c:pt>
                <c:pt idx="6">
                  <c:v>0.45836713923492201</c:v>
                </c:pt>
                <c:pt idx="7">
                  <c:v>0.46040496674883702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46-964C-A40B-50B0C256F8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242072736"/>
        <c:axId val="242074448"/>
      </c:barChart>
      <c:catAx>
        <c:axId val="2420727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5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Model</a:t>
                </a:r>
                <a:endParaRPr lang="en-GB" sz="105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074448"/>
        <c:crosses val="autoZero"/>
        <c:auto val="1"/>
        <c:lblAlgn val="ctr"/>
        <c:lblOffset val="100"/>
        <c:noMultiLvlLbl val="0"/>
      </c:catAx>
      <c:valAx>
        <c:axId val="242074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5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Macro F1 Mean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072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1"/>
              <a:t>Wav2Vec - </a:t>
            </a:r>
            <a:r>
              <a:rPr lang="en-IE" sz="1400" b="1" i="0" u="none" strike="noStrike">
                <a:effectLst/>
              </a:rPr>
              <a:t>Multi-Class Classification: Ulster, Leinster, and Rest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b="1"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r>
              <a:rPr lang="en-IE" sz="1400" b="1">
                <a:effectLst/>
              </a:rPr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'Chart 2 - F1 per Task'!$L$1</c:f>
              <c:strCache>
                <c:ptCount val="1"/>
                <c:pt idx="0">
                  <c:v>balanced_accuracy_mean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alpha val="5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EBD-0945-9315-9EF3BD7D22A1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CEBD-0945-9315-9EF3BD7D22A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2 - F1 per Task'!$AJ$2:$AJ$9</c:f>
              <c:strCache>
                <c:ptCount val="8"/>
                <c:pt idx="0">
                  <c:v>Random Baseline</c:v>
                </c:pt>
                <c:pt idx="1">
                  <c:v>Naive Bayes</c:v>
                </c:pt>
                <c:pt idx="2">
                  <c:v>k-NN (k=5)</c:v>
                </c:pt>
                <c:pt idx="3">
                  <c:v>SVM (RBF Kernel)</c:v>
                </c:pt>
                <c:pt idx="4">
                  <c:v>SVM (Linear)</c:v>
                </c:pt>
                <c:pt idx="5">
                  <c:v>Random Forest</c:v>
                </c:pt>
                <c:pt idx="6">
                  <c:v>Logistic Regression (Weighted)</c:v>
                </c:pt>
                <c:pt idx="7">
                  <c:v>Logistic Regression </c:v>
                </c:pt>
              </c:strCache>
            </c:strRef>
          </c:cat>
          <c:val>
            <c:numRef>
              <c:f>'Chart 2 - F1 per Task'!$AS$2:$AS$9</c:f>
              <c:numCache>
                <c:formatCode>0.00%</c:formatCode>
                <c:ptCount val="8"/>
                <c:pt idx="0">
                  <c:v>0.33333333333333331</c:v>
                </c:pt>
                <c:pt idx="1">
                  <c:v>0.466964140097199</c:v>
                </c:pt>
                <c:pt idx="2">
                  <c:v>0.50464118373071598</c:v>
                </c:pt>
                <c:pt idx="3">
                  <c:v>0.55822580977011804</c:v>
                </c:pt>
                <c:pt idx="4">
                  <c:v>0.56274194457495597</c:v>
                </c:pt>
                <c:pt idx="5">
                  <c:v>0.56559590141132698</c:v>
                </c:pt>
                <c:pt idx="6">
                  <c:v>0.596155207737191</c:v>
                </c:pt>
                <c:pt idx="7">
                  <c:v>0.59716870716770198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EBD-0945-9315-9EF3BD7D22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242072736"/>
        <c:axId val="242074448"/>
      </c:barChart>
      <c:catAx>
        <c:axId val="2420727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5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Model</a:t>
                </a:r>
                <a:endParaRPr lang="en-GB" sz="105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074448"/>
        <c:crosses val="autoZero"/>
        <c:auto val="1"/>
        <c:lblAlgn val="ctr"/>
        <c:lblOffset val="100"/>
        <c:noMultiLvlLbl val="0"/>
      </c:catAx>
      <c:valAx>
        <c:axId val="242074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5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Macro F1 Mean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072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1"/>
              <a:t>Wav2Vec - </a:t>
            </a:r>
            <a:r>
              <a:rPr lang="en-IE" sz="1400" b="1" i="0" u="none" strike="noStrike">
                <a:effectLst/>
              </a:rPr>
              <a:t>Binary Classification: Ulster vs Rest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b="1"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r>
              <a:rPr lang="en-IE" sz="1400" b="1">
                <a:effectLst/>
              </a:rPr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'Chart 2 - F1 per Task'!$L$1</c:f>
              <c:strCache>
                <c:ptCount val="1"/>
                <c:pt idx="0">
                  <c:v>balanced_accuracy_mean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alpha val="5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C2F-D045-A354-1FED34BBBC5A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8C2F-D045-A354-1FED34BBBC5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2 - F1 per Task'!$AY$2:$AY$9</c:f>
              <c:strCache>
                <c:ptCount val="8"/>
                <c:pt idx="0">
                  <c:v>RandomBaseline</c:v>
                </c:pt>
                <c:pt idx="1">
                  <c:v>knn_k5</c:v>
                </c:pt>
                <c:pt idx="2">
                  <c:v>svm_linear</c:v>
                </c:pt>
                <c:pt idx="3">
                  <c:v>nb</c:v>
                </c:pt>
                <c:pt idx="4">
                  <c:v>logreg_weighted</c:v>
                </c:pt>
                <c:pt idx="5">
                  <c:v>logreg</c:v>
                </c:pt>
                <c:pt idx="6">
                  <c:v>svm_rbf</c:v>
                </c:pt>
                <c:pt idx="7">
                  <c:v>rf</c:v>
                </c:pt>
              </c:strCache>
            </c:strRef>
          </c:cat>
          <c:val>
            <c:numRef>
              <c:f>'Chart 2 - F1 per Task'!$BI$2:$BI$9</c:f>
              <c:numCache>
                <c:formatCode>0.00%</c:formatCode>
                <c:ptCount val="8"/>
                <c:pt idx="0">
                  <c:v>0.5</c:v>
                </c:pt>
                <c:pt idx="1">
                  <c:v>0.74077977016764596</c:v>
                </c:pt>
                <c:pt idx="2">
                  <c:v>0.74512754244860402</c:v>
                </c:pt>
                <c:pt idx="3">
                  <c:v>0.74993721041939598</c:v>
                </c:pt>
                <c:pt idx="4">
                  <c:v>0.76284113302622103</c:v>
                </c:pt>
                <c:pt idx="5">
                  <c:v>0.77041460741390499</c:v>
                </c:pt>
                <c:pt idx="6">
                  <c:v>0.78577062889945104</c:v>
                </c:pt>
                <c:pt idx="7">
                  <c:v>0.79862896778877202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2F-D045-A354-1FED34BBBC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242072736"/>
        <c:axId val="242074448"/>
      </c:barChart>
      <c:catAx>
        <c:axId val="2420727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50"/>
                  <a:t>Model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074448"/>
        <c:crosses val="autoZero"/>
        <c:auto val="1"/>
        <c:lblAlgn val="ctr"/>
        <c:lblOffset val="100"/>
        <c:noMultiLvlLbl val="0"/>
      </c:catAx>
      <c:valAx>
        <c:axId val="242074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50"/>
                  <a:t>Macro</a:t>
                </a:r>
                <a:r>
                  <a:rPr lang="en-GB" sz="1050" baseline="0"/>
                  <a:t> F1 Mean</a:t>
                </a:r>
                <a:endParaRPr lang="en-GB" sz="105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072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Leinster vs Rest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 Chart 3 — Accuracy vs Balanced'!$J$2:$J$8</c:f>
              <c:numCache>
                <c:formatCode>0.00%</c:formatCode>
                <c:ptCount val="7"/>
                <c:pt idx="0">
                  <c:v>0.70587470855788703</c:v>
                </c:pt>
                <c:pt idx="1">
                  <c:v>0.71329549363605005</c:v>
                </c:pt>
                <c:pt idx="2">
                  <c:v>0.702774911134044</c:v>
                </c:pt>
                <c:pt idx="3">
                  <c:v>0.55391010205251601</c:v>
                </c:pt>
                <c:pt idx="4">
                  <c:v>0.67317203684592697</c:v>
                </c:pt>
                <c:pt idx="5">
                  <c:v>0.61997477353514496</c:v>
                </c:pt>
                <c:pt idx="6">
                  <c:v>0.66015365210411603</c:v>
                </c:pt>
              </c:numCache>
            </c:numRef>
          </c:xVal>
          <c:yVal>
            <c:numRef>
              <c:f>' Chart 3 — Accuracy vs Balanced'!$L$2:$L$8</c:f>
              <c:numCache>
                <c:formatCode>0.00%</c:formatCode>
                <c:ptCount val="7"/>
                <c:pt idx="0">
                  <c:v>0.68096475492059005</c:v>
                </c:pt>
                <c:pt idx="1">
                  <c:v>0.66886235312724296</c:v>
                </c:pt>
                <c:pt idx="2">
                  <c:v>0.66079154974212795</c:v>
                </c:pt>
                <c:pt idx="3">
                  <c:v>0.63461141862729398</c:v>
                </c:pt>
                <c:pt idx="4">
                  <c:v>0.59407242140559602</c:v>
                </c:pt>
                <c:pt idx="5">
                  <c:v>0.56095113331150204</c:v>
                </c:pt>
                <c:pt idx="6">
                  <c:v>0.52727467775039505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7B-A842-B276-B5FA287F90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0851840"/>
        <c:axId val="251502928"/>
      </c:scatterChart>
      <c:valAx>
        <c:axId val="250851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1502928"/>
        <c:crosses val="autoZero"/>
        <c:crossBetween val="midCat"/>
      </c:valAx>
      <c:valAx>
        <c:axId val="251502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8518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Four Provinces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 Chart 3 — Accuracy vs Balanced'!$J$9:$J$15</c:f>
              <c:numCache>
                <c:formatCode>0.00%</c:formatCode>
                <c:ptCount val="7"/>
                <c:pt idx="0">
                  <c:v>0.51545239457842695</c:v>
                </c:pt>
                <c:pt idx="1">
                  <c:v>0.51013041423493199</c:v>
                </c:pt>
                <c:pt idx="2">
                  <c:v>0.48875457036082598</c:v>
                </c:pt>
                <c:pt idx="3">
                  <c:v>0.51805798534978298</c:v>
                </c:pt>
                <c:pt idx="4">
                  <c:v>0.52356447763176395</c:v>
                </c:pt>
                <c:pt idx="5">
                  <c:v>0.43883992314137099</c:v>
                </c:pt>
                <c:pt idx="6">
                  <c:v>0.39237799642138199</c:v>
                </c:pt>
              </c:numCache>
            </c:numRef>
          </c:xVal>
          <c:yVal>
            <c:numRef>
              <c:f>' Chart 3 — Accuracy vs Balanced'!$L$9:$L$15</c:f>
              <c:numCache>
                <c:formatCode>0.00%</c:formatCode>
                <c:ptCount val="7"/>
                <c:pt idx="0">
                  <c:v>0.46598062321780598</c:v>
                </c:pt>
                <c:pt idx="1">
                  <c:v>0.46321433535467899</c:v>
                </c:pt>
                <c:pt idx="2">
                  <c:v>0.44647137940092102</c:v>
                </c:pt>
                <c:pt idx="3">
                  <c:v>0.43275156795208303</c:v>
                </c:pt>
                <c:pt idx="4">
                  <c:v>0.42738905927207199</c:v>
                </c:pt>
                <c:pt idx="5">
                  <c:v>0.40138932958574802</c:v>
                </c:pt>
                <c:pt idx="6">
                  <c:v>0.34600743784042298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8D-B844-97CE-5C211D1981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039823"/>
        <c:axId val="91066591"/>
      </c:scatterChart>
      <c:valAx>
        <c:axId val="91039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066591"/>
        <c:crosses val="autoZero"/>
        <c:crossBetween val="midCat"/>
      </c:valAx>
      <c:valAx>
        <c:axId val="91066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039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Ulster, Leinster, and Rest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 Chart 3 — Accuracy vs Balanced'!$J$16:$J$22</c:f>
              <c:numCache>
                <c:formatCode>0.00%</c:formatCode>
                <c:ptCount val="7"/>
                <c:pt idx="0">
                  <c:v>0.59583190001146602</c:v>
                </c:pt>
                <c:pt idx="1">
                  <c:v>0.59459924320605395</c:v>
                </c:pt>
                <c:pt idx="2">
                  <c:v>0.56370064595038705</c:v>
                </c:pt>
                <c:pt idx="3">
                  <c:v>0.56614302641134395</c:v>
                </c:pt>
                <c:pt idx="4">
                  <c:v>0.55253984634789499</c:v>
                </c:pt>
                <c:pt idx="5">
                  <c:v>0.49633451821274299</c:v>
                </c:pt>
                <c:pt idx="6">
                  <c:v>0.474024385582693</c:v>
                </c:pt>
              </c:numCache>
            </c:numRef>
          </c:xVal>
          <c:yVal>
            <c:numRef>
              <c:f>' Chart 3 — Accuracy vs Balanced'!$L$16:$L$22</c:f>
              <c:numCache>
                <c:formatCode>0.00%</c:formatCode>
                <c:ptCount val="7"/>
                <c:pt idx="0">
                  <c:v>0.59669754106231598</c:v>
                </c:pt>
                <c:pt idx="1">
                  <c:v>0.59603293290926296</c:v>
                </c:pt>
                <c:pt idx="2">
                  <c:v>0.56600412465205296</c:v>
                </c:pt>
                <c:pt idx="3">
                  <c:v>0.56339272499384196</c:v>
                </c:pt>
                <c:pt idx="4">
                  <c:v>0.55403442293585503</c:v>
                </c:pt>
                <c:pt idx="5">
                  <c:v>0.49899361049026902</c:v>
                </c:pt>
                <c:pt idx="6">
                  <c:v>0.48518171056732601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23-7544-BED2-14EB1D7AD7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093135"/>
        <c:axId val="199627631"/>
      </c:scatterChart>
      <c:valAx>
        <c:axId val="2000931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27631"/>
        <c:crosses val="autoZero"/>
        <c:crossBetween val="midCat"/>
      </c:valAx>
      <c:valAx>
        <c:axId val="199627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931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Ulster vs Rest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 Chart 3 — Accuracy vs Balanced'!$J$23:$J$29</c:f>
              <c:numCache>
                <c:formatCode>0.00%</c:formatCode>
                <c:ptCount val="7"/>
                <c:pt idx="0">
                  <c:v>0.84180139892214201</c:v>
                </c:pt>
                <c:pt idx="1">
                  <c:v>0.833780529755761</c:v>
                </c:pt>
                <c:pt idx="2">
                  <c:v>0.81091617933723104</c:v>
                </c:pt>
                <c:pt idx="3">
                  <c:v>0.80040706341015899</c:v>
                </c:pt>
                <c:pt idx="4">
                  <c:v>0.79237854986048994</c:v>
                </c:pt>
                <c:pt idx="5">
                  <c:v>0.786813438825822</c:v>
                </c:pt>
                <c:pt idx="6">
                  <c:v>0.800418529985093</c:v>
                </c:pt>
              </c:numCache>
            </c:numRef>
          </c:xVal>
          <c:yVal>
            <c:numRef>
              <c:f>' Chart 3 — Accuracy vs Balanced'!$L$23:$L$29</c:f>
              <c:numCache>
                <c:formatCode>0.00%</c:formatCode>
                <c:ptCount val="7"/>
                <c:pt idx="0">
                  <c:v>0.78437523129269904</c:v>
                </c:pt>
                <c:pt idx="1">
                  <c:v>0.76782466220649703</c:v>
                </c:pt>
                <c:pt idx="2">
                  <c:v>0.76027707711460102</c:v>
                </c:pt>
                <c:pt idx="3">
                  <c:v>0.75555353129440495</c:v>
                </c:pt>
                <c:pt idx="4">
                  <c:v>0.74830879405952799</c:v>
                </c:pt>
                <c:pt idx="5">
                  <c:v>0.73758878814847895</c:v>
                </c:pt>
                <c:pt idx="6">
                  <c:v>0.72445507070771498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8D-994E-8881-35F26B4841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504159"/>
        <c:axId val="199505871"/>
      </c:scatterChart>
      <c:valAx>
        <c:axId val="1995041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505871"/>
        <c:crosses val="autoZero"/>
        <c:crossBetween val="midCat"/>
      </c:valAx>
      <c:valAx>
        <c:axId val="199505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5041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E" b="1"/>
              <a:t>Accuracy vs Balanced Accuracy Across Classification Tasks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Leinster vs Rest</c:v>
          </c:tx>
          <c:spPr>
            <a:ln w="38100" cap="rnd" cmpd="sng" algn="ctr">
              <a:noFill/>
              <a:prstDash val="solid"/>
              <a:round/>
            </a:ln>
            <a:effectLst/>
          </c:spPr>
          <c:marker>
            <c:spPr>
              <a:solidFill>
                <a:schemeClr val="accent2"/>
              </a:solidFill>
              <a:ln w="12700" cap="flat" cmpd="sng" algn="ctr">
                <a:solidFill>
                  <a:schemeClr val="accent2"/>
                </a:solidFill>
                <a:prstDash val="solid"/>
                <a:round/>
              </a:ln>
              <a:effectLst/>
            </c:spPr>
          </c:marker>
          <c:xVal>
            <c:numRef>
              <c:f>' Chart 3 — Accuracy vs Balanced'!$J$2:$J$8</c:f>
              <c:numCache>
                <c:formatCode>0.00%</c:formatCode>
                <c:ptCount val="7"/>
                <c:pt idx="0">
                  <c:v>0.70587470855788703</c:v>
                </c:pt>
                <c:pt idx="1">
                  <c:v>0.71329549363605005</c:v>
                </c:pt>
                <c:pt idx="2">
                  <c:v>0.702774911134044</c:v>
                </c:pt>
                <c:pt idx="3">
                  <c:v>0.55391010205251601</c:v>
                </c:pt>
                <c:pt idx="4">
                  <c:v>0.67317203684592697</c:v>
                </c:pt>
                <c:pt idx="5">
                  <c:v>0.61997477353514496</c:v>
                </c:pt>
                <c:pt idx="6">
                  <c:v>0.66015365210411603</c:v>
                </c:pt>
              </c:numCache>
            </c:numRef>
          </c:xVal>
          <c:yVal>
            <c:numRef>
              <c:f>' Chart 3 — Accuracy vs Balanced'!$L$2:$L$8</c:f>
              <c:numCache>
                <c:formatCode>0.00%</c:formatCode>
                <c:ptCount val="7"/>
                <c:pt idx="0">
                  <c:v>0.68096475492059005</c:v>
                </c:pt>
                <c:pt idx="1">
                  <c:v>0.66886235312724296</c:v>
                </c:pt>
                <c:pt idx="2">
                  <c:v>0.66079154974212795</c:v>
                </c:pt>
                <c:pt idx="3">
                  <c:v>0.63461141862729398</c:v>
                </c:pt>
                <c:pt idx="4">
                  <c:v>0.59407242140559602</c:v>
                </c:pt>
                <c:pt idx="5">
                  <c:v>0.56095113331150204</c:v>
                </c:pt>
                <c:pt idx="6">
                  <c:v>0.52727467775039505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E7E6-F54B-9315-BB50A7FF460C}"/>
            </c:ext>
          </c:extLst>
        </c:ser>
        <c:ser>
          <c:idx val="2"/>
          <c:order val="1"/>
          <c:tx>
            <c:v>Four Provinces</c:v>
          </c:tx>
          <c:spPr>
            <a:ln w="38100" cap="rnd" cmpd="sng" algn="ctr">
              <a:noFill/>
              <a:prstDash val="solid"/>
              <a:round/>
            </a:ln>
            <a:effectLst/>
          </c:spPr>
          <c:marker>
            <c:spPr>
              <a:solidFill>
                <a:schemeClr val="accent3"/>
              </a:solidFill>
              <a:ln w="12700" cap="flat" cmpd="sng" algn="ctr">
                <a:solidFill>
                  <a:schemeClr val="accent3"/>
                </a:solidFill>
                <a:prstDash val="solid"/>
                <a:round/>
              </a:ln>
              <a:effectLst/>
            </c:spPr>
          </c:marker>
          <c:xVal>
            <c:numRef>
              <c:f>' Chart 3 — Accuracy vs Balanced'!$J$9:$J$15</c:f>
              <c:numCache>
                <c:formatCode>0.00%</c:formatCode>
                <c:ptCount val="7"/>
                <c:pt idx="0">
                  <c:v>0.51545239457842695</c:v>
                </c:pt>
                <c:pt idx="1">
                  <c:v>0.51013041423493199</c:v>
                </c:pt>
                <c:pt idx="2">
                  <c:v>0.48875457036082598</c:v>
                </c:pt>
                <c:pt idx="3">
                  <c:v>0.51805798534978298</c:v>
                </c:pt>
                <c:pt idx="4">
                  <c:v>0.52356447763176395</c:v>
                </c:pt>
                <c:pt idx="5">
                  <c:v>0.43883992314137099</c:v>
                </c:pt>
                <c:pt idx="6">
                  <c:v>0.39237799642138199</c:v>
                </c:pt>
              </c:numCache>
            </c:numRef>
          </c:xVal>
          <c:yVal>
            <c:numRef>
              <c:f>' Chart 3 — Accuracy vs Balanced'!$L$9:$L$15</c:f>
              <c:numCache>
                <c:formatCode>0.00%</c:formatCode>
                <c:ptCount val="7"/>
                <c:pt idx="0">
                  <c:v>0.46598062321780598</c:v>
                </c:pt>
                <c:pt idx="1">
                  <c:v>0.46321433535467899</c:v>
                </c:pt>
                <c:pt idx="2">
                  <c:v>0.44647137940092102</c:v>
                </c:pt>
                <c:pt idx="3">
                  <c:v>0.43275156795208303</c:v>
                </c:pt>
                <c:pt idx="4">
                  <c:v>0.42738905927207199</c:v>
                </c:pt>
                <c:pt idx="5">
                  <c:v>0.40138932958574802</c:v>
                </c:pt>
                <c:pt idx="6">
                  <c:v>0.34600743784042298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E7E6-F54B-9315-BB50A7FF460C}"/>
            </c:ext>
          </c:extLst>
        </c:ser>
        <c:ser>
          <c:idx val="3"/>
          <c:order val="2"/>
          <c:tx>
            <c:v>Ulster, Leinster, and Rest</c:v>
          </c:tx>
          <c:spPr>
            <a:ln w="38100" cap="rnd" cmpd="sng" algn="ctr">
              <a:noFill/>
              <a:prstDash val="solid"/>
              <a:round/>
            </a:ln>
            <a:effectLst/>
          </c:spPr>
          <c:marker>
            <c:spPr>
              <a:noFill/>
              <a:ln w="12700" cap="flat" cmpd="sng" algn="ctr">
                <a:solidFill>
                  <a:schemeClr val="accent4"/>
                </a:solidFill>
                <a:prstDash val="solid"/>
                <a:round/>
              </a:ln>
              <a:effectLst/>
            </c:spPr>
          </c:marker>
          <c:xVal>
            <c:numRef>
              <c:f>' Chart 3 — Accuracy vs Balanced'!$J$16:$J$22</c:f>
              <c:numCache>
                <c:formatCode>0.00%</c:formatCode>
                <c:ptCount val="7"/>
                <c:pt idx="0">
                  <c:v>0.59583190001146602</c:v>
                </c:pt>
                <c:pt idx="1">
                  <c:v>0.59459924320605395</c:v>
                </c:pt>
                <c:pt idx="2">
                  <c:v>0.56370064595038705</c:v>
                </c:pt>
                <c:pt idx="3">
                  <c:v>0.56614302641134395</c:v>
                </c:pt>
                <c:pt idx="4">
                  <c:v>0.55253984634789499</c:v>
                </c:pt>
                <c:pt idx="5">
                  <c:v>0.49633451821274299</c:v>
                </c:pt>
                <c:pt idx="6">
                  <c:v>0.474024385582693</c:v>
                </c:pt>
              </c:numCache>
            </c:numRef>
          </c:xVal>
          <c:yVal>
            <c:numRef>
              <c:f>' Chart 3 — Accuracy vs Balanced'!$L$16:$L$22</c:f>
              <c:numCache>
                <c:formatCode>0.00%</c:formatCode>
                <c:ptCount val="7"/>
                <c:pt idx="0">
                  <c:v>0.59669754106231598</c:v>
                </c:pt>
                <c:pt idx="1">
                  <c:v>0.59603293290926296</c:v>
                </c:pt>
                <c:pt idx="2">
                  <c:v>0.56600412465205296</c:v>
                </c:pt>
                <c:pt idx="3">
                  <c:v>0.56339272499384196</c:v>
                </c:pt>
                <c:pt idx="4">
                  <c:v>0.55403442293585503</c:v>
                </c:pt>
                <c:pt idx="5">
                  <c:v>0.49899361049026902</c:v>
                </c:pt>
                <c:pt idx="6">
                  <c:v>0.48518171056732601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E7E6-F54B-9315-BB50A7FF460C}"/>
            </c:ext>
          </c:extLst>
        </c:ser>
        <c:ser>
          <c:idx val="0"/>
          <c:order val="3"/>
          <c:tx>
            <c:v>Ulster vs Rest</c:v>
          </c:tx>
          <c:spPr>
            <a:ln w="38100" cap="rnd" cmpd="sng" algn="ctr">
              <a:noFill/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12700" cap="flat" cmpd="sng" algn="ctr">
                <a:solidFill>
                  <a:schemeClr val="accent1"/>
                </a:solidFill>
                <a:prstDash val="solid"/>
                <a:round/>
              </a:ln>
              <a:effectLst/>
            </c:spPr>
          </c:marker>
          <c:xVal>
            <c:numRef>
              <c:f>' Chart 3 — Accuracy vs Balanced'!$J$23:$J$29</c:f>
              <c:numCache>
                <c:formatCode>0.00%</c:formatCode>
                <c:ptCount val="7"/>
                <c:pt idx="0">
                  <c:v>0.84180139892214201</c:v>
                </c:pt>
                <c:pt idx="1">
                  <c:v>0.833780529755761</c:v>
                </c:pt>
                <c:pt idx="2">
                  <c:v>0.81091617933723104</c:v>
                </c:pt>
                <c:pt idx="3">
                  <c:v>0.80040706341015899</c:v>
                </c:pt>
                <c:pt idx="4">
                  <c:v>0.79237854986048994</c:v>
                </c:pt>
                <c:pt idx="5">
                  <c:v>0.786813438825822</c:v>
                </c:pt>
                <c:pt idx="6">
                  <c:v>0.800418529985093</c:v>
                </c:pt>
              </c:numCache>
            </c:numRef>
          </c:xVal>
          <c:yVal>
            <c:numRef>
              <c:f>' Chart 3 — Accuracy vs Balanced'!$L$23:$L$29</c:f>
              <c:numCache>
                <c:formatCode>0.00%</c:formatCode>
                <c:ptCount val="7"/>
                <c:pt idx="0">
                  <c:v>0.78437523129269904</c:v>
                </c:pt>
                <c:pt idx="1">
                  <c:v>0.76782466220649703</c:v>
                </c:pt>
                <c:pt idx="2">
                  <c:v>0.76027707711460102</c:v>
                </c:pt>
                <c:pt idx="3">
                  <c:v>0.75555353129440495</c:v>
                </c:pt>
                <c:pt idx="4">
                  <c:v>0.74830879405952799</c:v>
                </c:pt>
                <c:pt idx="5">
                  <c:v>0.73758878814847895</c:v>
                </c:pt>
                <c:pt idx="6">
                  <c:v>0.72445507070771498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E7E6-F54B-9315-BB50A7FF46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504159"/>
        <c:axId val="199505871"/>
      </c:scatterChart>
      <c:valAx>
        <c:axId val="1995041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rgbClr val="595959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50">
                    <a:solidFill>
                      <a:srgbClr val="595959"/>
                    </a:solidFill>
                  </a:rPr>
                  <a:t>Accuracy</a:t>
                </a:r>
                <a:r>
                  <a:rPr lang="en-GB" sz="1050" baseline="0">
                    <a:solidFill>
                      <a:srgbClr val="595959"/>
                    </a:solidFill>
                  </a:rPr>
                  <a:t> Mean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rgbClr val="595959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505871"/>
        <c:crosses val="autoZero"/>
        <c:crossBetween val="midCat"/>
      </c:valAx>
      <c:valAx>
        <c:axId val="199505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rgbClr val="595959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50">
                    <a:solidFill>
                      <a:srgbClr val="595959"/>
                    </a:solidFill>
                  </a:rPr>
                  <a:t>Balanced Accuracy Mean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rgbClr val="595959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504159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12700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Balanced Accuracy Per Task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4 - Average B.A. Per Task'!$B$1</c:f>
              <c:strCache>
                <c:ptCount val="1"/>
                <c:pt idx="0">
                  <c:v>average_balanced_accuracy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4 - Average B.A. Per Task'!$A$2:$A$5</c:f>
              <c:strCache>
                <c:ptCount val="4"/>
                <c:pt idx="0">
                  <c:v>Multi-Class Classification: Four Provinces</c:v>
                </c:pt>
                <c:pt idx="1">
                  <c:v>Multi-Class Classification: Ulster, Leinster, and Rest</c:v>
                </c:pt>
                <c:pt idx="2">
                  <c:v>Binary Classification: Leinster vs Rest</c:v>
                </c:pt>
                <c:pt idx="3">
                  <c:v>Binary Classification: Ulster vs Rest</c:v>
                </c:pt>
              </c:strCache>
            </c:strRef>
          </c:cat>
          <c:val>
            <c:numRef>
              <c:f>'Chart 4 - Average B.A. Per Task'!$B$2:$B$5</c:f>
              <c:numCache>
                <c:formatCode>0.00%</c:formatCode>
                <c:ptCount val="4"/>
                <c:pt idx="0">
                  <c:v>0.42617196180339029</c:v>
                </c:pt>
                <c:pt idx="1">
                  <c:v>0.55147672394441771</c:v>
                </c:pt>
                <c:pt idx="2">
                  <c:v>0.61821832984067826</c:v>
                </c:pt>
                <c:pt idx="3">
                  <c:v>0.75405473640341769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D5-404B-A2B6-CA15955CCB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657375"/>
        <c:axId val="199659087"/>
      </c:barChart>
      <c:catAx>
        <c:axId val="199657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59087"/>
        <c:crosses val="autoZero"/>
        <c:auto val="1"/>
        <c:lblAlgn val="ctr"/>
        <c:lblOffset val="100"/>
        <c:noMultiLvlLbl val="0"/>
      </c:catAx>
      <c:valAx>
        <c:axId val="199659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57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Best Model Per Task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5 - Best Model Per Task'!$Q$1</c:f>
              <c:strCache>
                <c:ptCount val="1"/>
                <c:pt idx="0">
                  <c:v>RelativeImprovement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5 - Best Model Per Task'!$E$2:$E$5</c:f>
              <c:strCache>
                <c:ptCount val="4"/>
                <c:pt idx="0">
                  <c:v>Leinster vs Rest
Logistic Regression (Weighted)</c:v>
                </c:pt>
                <c:pt idx="1">
                  <c:v>Ulster vs Rest
Random Forest</c:v>
                </c:pt>
                <c:pt idx="2">
                  <c:v>Ulster, Leinster, and Rest
Logistic Regression </c:v>
                </c:pt>
                <c:pt idx="3">
                  <c:v>Four Provinces
Logistic Regression </c:v>
                </c:pt>
              </c:strCache>
            </c:strRef>
          </c:cat>
          <c:val>
            <c:numRef>
              <c:f>'Chart 5 - Best Model Per Task'!$Q$2:$Q$5</c:f>
              <c:numCache>
                <c:formatCode>0.00%</c:formatCode>
                <c:ptCount val="4"/>
                <c:pt idx="0">
                  <c:v>0.36192950984118011</c:v>
                </c:pt>
                <c:pt idx="1">
                  <c:v>0.56875046258539808</c:v>
                </c:pt>
                <c:pt idx="2">
                  <c:v>0.79009262318694806</c:v>
                </c:pt>
                <c:pt idx="3">
                  <c:v>0.86392249287122391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74-2B4B-876D-8DDFBA4CB8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1009679"/>
        <c:axId val="91011391"/>
      </c:barChart>
      <c:catAx>
        <c:axId val="910096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50"/>
                  <a:t>Task</a:t>
                </a:r>
                <a:br>
                  <a:rPr lang="en-GB" sz="1050"/>
                </a:br>
                <a:r>
                  <a:rPr lang="en-GB" sz="1050"/>
                  <a:t>-------</a:t>
                </a:r>
                <a:br>
                  <a:rPr lang="en-GB" sz="1050"/>
                </a:br>
                <a:r>
                  <a:rPr lang="en-GB" sz="1050"/>
                  <a:t>Model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011391"/>
        <c:crosses val="autoZero"/>
        <c:auto val="1"/>
        <c:lblAlgn val="ctr"/>
        <c:lblOffset val="100"/>
        <c:noMultiLvlLbl val="0"/>
      </c:catAx>
      <c:valAx>
        <c:axId val="91011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5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Relative Improvement Over the Baseline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009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50800</xdr:colOff>
      <xdr:row>11</xdr:row>
      <xdr:rowOff>25400</xdr:rowOff>
    </xdr:from>
    <xdr:to>
      <xdr:col>7</xdr:col>
      <xdr:colOff>1739900</xdr:colOff>
      <xdr:row>38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56BDC3-F851-4D36-320E-6C3F89AD37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12</xdr:row>
      <xdr:rowOff>0</xdr:rowOff>
    </xdr:from>
    <xdr:to>
      <xdr:col>23</xdr:col>
      <xdr:colOff>368300</xdr:colOff>
      <xdr:row>39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01AE821-CAA6-0D4F-A969-75B642A281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32</xdr:col>
      <xdr:colOff>0</xdr:colOff>
      <xdr:row>11</xdr:row>
      <xdr:rowOff>0</xdr:rowOff>
    </xdr:from>
    <xdr:to>
      <xdr:col>38</xdr:col>
      <xdr:colOff>393700</xdr:colOff>
      <xdr:row>38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B171A1F-C4F8-BE4D-9011-9EF835DBB8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49</xdr:col>
      <xdr:colOff>0</xdr:colOff>
      <xdr:row>13</xdr:row>
      <xdr:rowOff>0</xdr:rowOff>
    </xdr:from>
    <xdr:to>
      <xdr:col>56</xdr:col>
      <xdr:colOff>165100</xdr:colOff>
      <xdr:row>40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3B9D75D-F028-044F-81C9-DC36CFF7F2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50800</xdr:colOff>
      <xdr:row>11</xdr:row>
      <xdr:rowOff>25400</xdr:rowOff>
    </xdr:from>
    <xdr:to>
      <xdr:col>7</xdr:col>
      <xdr:colOff>1739900</xdr:colOff>
      <xdr:row>38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CDE96F-B3F8-834A-AF48-20DE3F1EF0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12</xdr:row>
      <xdr:rowOff>0</xdr:rowOff>
    </xdr:from>
    <xdr:to>
      <xdr:col>23</xdr:col>
      <xdr:colOff>368300</xdr:colOff>
      <xdr:row>39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7179D89-C3A5-6E4A-9A07-3FA95DBA4C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32</xdr:col>
      <xdr:colOff>0</xdr:colOff>
      <xdr:row>11</xdr:row>
      <xdr:rowOff>0</xdr:rowOff>
    </xdr:from>
    <xdr:to>
      <xdr:col>38</xdr:col>
      <xdr:colOff>393700</xdr:colOff>
      <xdr:row>38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6869938-F683-DB4D-BCCC-56915D4F8B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49</xdr:col>
      <xdr:colOff>0</xdr:colOff>
      <xdr:row>13</xdr:row>
      <xdr:rowOff>0</xdr:rowOff>
    </xdr:from>
    <xdr:to>
      <xdr:col>56</xdr:col>
      <xdr:colOff>165100</xdr:colOff>
      <xdr:row>40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E4056A3-8481-6844-BCE6-9EF9523A3B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393700</xdr:colOff>
      <xdr:row>32</xdr:row>
      <xdr:rowOff>38100</xdr:rowOff>
    </xdr:from>
    <xdr:to>
      <xdr:col>2</xdr:col>
      <xdr:colOff>330200</xdr:colOff>
      <xdr:row>45</xdr:row>
      <xdr:rowOff>139700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BC08A95-A8C8-7F48-DB68-01A8441472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558800</xdr:colOff>
      <xdr:row>31</xdr:row>
      <xdr:rowOff>127000</xdr:rowOff>
    </xdr:from>
    <xdr:to>
      <xdr:col>6</xdr:col>
      <xdr:colOff>76200</xdr:colOff>
      <xdr:row>45</xdr:row>
      <xdr:rowOff>25400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B0EF2A7-F53F-205F-DC49-5D1D812BC1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635000</xdr:colOff>
      <xdr:row>31</xdr:row>
      <xdr:rowOff>139700</xdr:rowOff>
    </xdr:from>
    <xdr:to>
      <xdr:col>8</xdr:col>
      <xdr:colOff>495300</xdr:colOff>
      <xdr:row>45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AAF24A5-CB27-C00A-CBDA-C30821A343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914400</xdr:colOff>
      <xdr:row>31</xdr:row>
      <xdr:rowOff>165100</xdr:rowOff>
    </xdr:from>
    <xdr:to>
      <xdr:col>11</xdr:col>
      <xdr:colOff>508000</xdr:colOff>
      <xdr:row>45</xdr:row>
      <xdr:rowOff>63500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DA6E10B-55F0-CB9A-34F9-898C89E9C5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1143000</xdr:colOff>
      <xdr:row>48</xdr:row>
      <xdr:rowOff>12700</xdr:rowOff>
    </xdr:from>
    <xdr:to>
      <xdr:col>8</xdr:col>
      <xdr:colOff>939800</xdr:colOff>
      <xdr:row>81</xdr:row>
      <xdr:rowOff>114300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C27E93E-2DD0-F00B-2707-61AF206D2B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1333500</xdr:colOff>
      <xdr:row>10</xdr:row>
      <xdr:rowOff>177800</xdr:rowOff>
    </xdr:from>
    <xdr:to>
      <xdr:col>5</xdr:col>
      <xdr:colOff>279400</xdr:colOff>
      <xdr:row>36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6CFF28-0C9D-4307-B985-DF665FE364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1435100</xdr:colOff>
      <xdr:row>7</xdr:row>
      <xdr:rowOff>50800</xdr:rowOff>
    </xdr:from>
    <xdr:to>
      <xdr:col>7</xdr:col>
      <xdr:colOff>406400</xdr:colOff>
      <xdr:row>32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52E2D3D-9D8C-0C17-89FC-6EB3D901BD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1EC2A4-7052-A849-9D93-E3A2208C69E9}" name="Table1" displayName="Table1" ref="A1:N29" totalsRowShown="0">
  <autoFilter ref="A1:N29" xr:uid="{E91EC2A4-7052-A849-9D93-E3A2208C69E9}"/>
  <tableColumns count="14">
    <tableColumn id="1" xr3:uid="{38EA731F-E293-D948-9496-F1F01D8D3419}" name="task_name"/>
    <tableColumn id="14" xr3:uid="{C1B848AE-8BE3-AF4A-93A9-69D065510A61}" name="task_name_better"/>
    <tableColumn id="2" xr3:uid="{D756556C-EAD8-5646-98E3-8A30789C237B}" name="model_name"/>
    <tableColumn id="13" xr3:uid="{BE703EF7-89BF-B34F-BA74-4E9A92D00436}" name="model_name_better"/>
    <tableColumn id="3" xr3:uid="{A60CBB85-F8C7-0242-BC15-DD322B31C0FD}" name="n_samples"/>
    <tableColumn id="4" xr3:uid="{FAD6A027-6A8D-8047-976E-0E8E316D9D6C}" name="n_speakers"/>
    <tableColumn id="5" xr3:uid="{22C2AA2D-3197-7A41-A7A7-CA9952B522A4}" name="n_classes"/>
    <tableColumn id="6" xr3:uid="{A361E242-3144-5E49-AEEE-E8152C93D188}" name="class_counts"/>
    <tableColumn id="7" xr3:uid="{B5CDEE15-ADF3-C541-BD3C-E1D80ABE408D}" name="label_classes"/>
    <tableColumn id="8" xr3:uid="{7CC5DC19-A0BE-5A44-9A95-0AE881CD070E}" name="accuracy_mean" dataDxfId="294"/>
    <tableColumn id="9" xr3:uid="{23303901-BBAC-4442-8D66-176AD0F53D7F}" name="accuracy_std" dataDxfId="293"/>
    <tableColumn id="10" xr3:uid="{0C35D553-9EF6-9A4A-8E76-3F777DDF51D0}" name="balanced_accuracy_mean" dataDxfId="292"/>
    <tableColumn id="11" xr3:uid="{27108614-386F-0940-AEB3-7886CDD38C8C}" name="macro_f1_mean" dataDxfId="291"/>
    <tableColumn id="12" xr3:uid="{57CADD76-663B-2B48-8198-7B77465F735C}" name="baseline" dataDxfId="290">
      <calculatedColumnFormula>1/Table1[[#This Row],[n_classes]]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0600673-454E-D540-929B-9806AEB1CFAA}" name="Table6" displayName="Table6" ref="A1:O9" totalsRowShown="0" headerRowDxfId="289" dataDxfId="287" headerRowBorderDxfId="288" tableBorderDxfId="286" totalsRowBorderDxfId="285">
  <autoFilter ref="A1:O9" xr:uid="{60600673-454E-D540-929B-9806AEB1CFAA}"/>
  <sortState xmlns:xlrd2="http://schemas.microsoft.com/office/spreadsheetml/2017/richdata2" ref="A2:O9">
    <sortCondition descending="1" ref="O2:O9"/>
    <sortCondition ref="L2:L9"/>
  </sortState>
  <tableColumns count="15">
    <tableColumn id="1" xr3:uid="{664F3875-5423-AC4C-86E1-1DD2952C4538}" name="task_name" dataDxfId="284"/>
    <tableColumn id="2" xr3:uid="{5F8A68A6-C14E-1244-A367-AFA8210BB567}" name="task_name_better" dataDxfId="283"/>
    <tableColumn id="3" xr3:uid="{2843FDF1-9344-924D-AD5C-F9591359A87D}" name="model_name" dataDxfId="282"/>
    <tableColumn id="4" xr3:uid="{ACB23FEF-8D04-A74B-A188-AB8B87D8189D}" name="model_name_better" dataDxfId="281"/>
    <tableColumn id="5" xr3:uid="{43E2DCE0-6464-EC46-8487-7A11B62035CC}" name="n_samples" dataDxfId="280"/>
    <tableColumn id="6" xr3:uid="{9C999654-ED1B-404F-A7C0-0A03FE240125}" name="n_speakers" dataDxfId="279"/>
    <tableColumn id="7" xr3:uid="{0F3C7DD1-1633-2449-97FE-E8DB76C46C54}" name="n_classes" dataDxfId="278"/>
    <tableColumn id="8" xr3:uid="{A4C0134F-57BF-194F-A1AC-2BAEC26C03EF}" name="class_counts" dataDxfId="277"/>
    <tableColumn id="9" xr3:uid="{DC0ED13A-59AB-9E4C-836B-8EA3AAE036D7}" name="label_classes" dataDxfId="276"/>
    <tableColumn id="10" xr3:uid="{D25DD5AD-3534-C049-AC5E-9C3368CB22B8}" name="accuracy_mean" dataDxfId="275"/>
    <tableColumn id="11" xr3:uid="{92923F30-A1EE-9342-821C-A4E1703F4396}" name="accuracy_std" dataDxfId="274"/>
    <tableColumn id="12" xr3:uid="{3026E5E6-A2B3-8245-8F5D-79B06451D5B2}" name="balanced_accuracy_mean" dataDxfId="273"/>
    <tableColumn id="13" xr3:uid="{AB42A198-2B88-254B-A52C-888E6DA86184}" name="macro_f1_mean" dataDxfId="272"/>
    <tableColumn id="14" xr3:uid="{00C485E4-D2DA-7643-A19E-3A68309C2231}" name="baseline" dataDxfId="271">
      <calculatedColumnFormula>1/Table6[[#This Row],[n_classes]]</calculatedColumnFormula>
    </tableColumn>
    <tableColumn id="15" xr3:uid="{516A2976-63F0-4A4C-8F24-5558A79296FA}" name="baseline_flag" dataDxfId="270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0A02FD5-3CC9-BD40-8091-AA49B1D0D2D5}" name="Table7" displayName="Table7" ref="Q1:AE9" totalsRowShown="0" headerRowDxfId="269" dataDxfId="268" tableBorderDxfId="267">
  <autoFilter ref="Q1:AE9" xr:uid="{F0A02FD5-3CC9-BD40-8091-AA49B1D0D2D5}"/>
  <sortState xmlns:xlrd2="http://schemas.microsoft.com/office/spreadsheetml/2017/richdata2" ref="Q2:AE9">
    <sortCondition descending="1" ref="AE2:AE9"/>
    <sortCondition ref="AB2:AB9"/>
  </sortState>
  <tableColumns count="15">
    <tableColumn id="1" xr3:uid="{02A028F1-9157-9C43-A0F3-8EFA2BC44AA0}" name="task_name" dataDxfId="266"/>
    <tableColumn id="2" xr3:uid="{3DAC4EFD-4257-C74A-B7DE-659F0BDC1850}" name="task_name_better" dataDxfId="265"/>
    <tableColumn id="3" xr3:uid="{114333FF-4F85-3F4F-A400-64838E1FE8D3}" name="model_name" dataDxfId="264"/>
    <tableColumn id="4" xr3:uid="{273F2931-E899-8049-9EF6-F676C200C35F}" name="model_name_better" dataDxfId="263"/>
    <tableColumn id="5" xr3:uid="{C836339B-7AAE-BE41-99EB-963C804B4243}" name="n_samples" dataDxfId="262"/>
    <tableColumn id="6" xr3:uid="{644E5113-100A-0F43-B7CD-DBA037496146}" name="n_speakers" dataDxfId="261"/>
    <tableColumn id="7" xr3:uid="{CF06B121-5D0B-FE4B-A038-DA467BB4F59C}" name="n_classes" dataDxfId="260"/>
    <tableColumn id="8" xr3:uid="{23919DE7-89C8-CD4B-9107-F5B7E8E5943C}" name="class_counts" dataDxfId="259"/>
    <tableColumn id="9" xr3:uid="{34247E9C-BC91-5643-B350-FC309B23FC59}" name="label_classes" dataDxfId="258"/>
    <tableColumn id="10" xr3:uid="{E9512B33-B9BE-2E4A-8F01-17F54D70AD46}" name="accuracy_mean" dataDxfId="257"/>
    <tableColumn id="11" xr3:uid="{BD08D620-3A9E-E843-9131-20CE000CF145}" name="accuracy_std" dataDxfId="256"/>
    <tableColumn id="12" xr3:uid="{AE62C2EF-6BC1-E949-A2AE-F7B8CE149183}" name="balanced_accuracy_mean" dataDxfId="255"/>
    <tableColumn id="13" xr3:uid="{1578C5C3-1DA5-D34A-B7EC-29E10E8BFEAB}" name="macro_f1_mean" dataDxfId="254"/>
    <tableColumn id="14" xr3:uid="{2E0E34DD-3C9B-7A4C-9E97-11721B6BBF31}" name="baseline" dataDxfId="253"/>
    <tableColumn id="15" xr3:uid="{0ED0B1B8-6FEF-2D41-ACCE-4D2BC5DBE145}" name="baseline_flag" dataDxfId="252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A688A9D-89CE-1941-9753-779F47E2CF9B}" name="Table8" displayName="Table8" ref="AG1:AU9" totalsRowShown="0" headerRowDxfId="251" dataDxfId="250" tableBorderDxfId="249">
  <autoFilter ref="AG1:AU9" xr:uid="{1A688A9D-89CE-1941-9753-779F47E2CF9B}"/>
  <sortState xmlns:xlrd2="http://schemas.microsoft.com/office/spreadsheetml/2017/richdata2" ref="AG2:AU9">
    <sortCondition descending="1" ref="AU2:AU9"/>
    <sortCondition ref="AR2:AR9"/>
  </sortState>
  <tableColumns count="15">
    <tableColumn id="1" xr3:uid="{1FBC7452-D8EE-3342-AB4F-A3B48E57729C}" name="task_name" dataDxfId="248"/>
    <tableColumn id="2" xr3:uid="{1D31A327-1E9B-9D4D-ACC1-1B27FCBF32DA}" name="task_name_better" dataDxfId="247"/>
    <tableColumn id="3" xr3:uid="{DA301548-D1F8-8C4C-AC24-E6DB8C75A344}" name="model_name" dataDxfId="246"/>
    <tableColumn id="4" xr3:uid="{CC8EA81F-05F1-2A48-8E4E-B7366D762049}" name="model_name_better" dataDxfId="245"/>
    <tableColumn id="5" xr3:uid="{CED09939-5E3A-9141-8F35-9484487E5993}" name="n_samples" dataDxfId="244"/>
    <tableColumn id="6" xr3:uid="{3F2559B1-6351-0447-B16B-36AAD743F497}" name="n_speakers" dataDxfId="243"/>
    <tableColumn id="7" xr3:uid="{E3264DFC-909C-5B47-9F1D-28C360FE2C3C}" name="n_classes" dataDxfId="242"/>
    <tableColumn id="8" xr3:uid="{97C48E4A-68BD-5D40-A4AA-F679E871666C}" name="class_counts" dataDxfId="241"/>
    <tableColumn id="9" xr3:uid="{D60B215B-925A-F34F-A769-B90A69297690}" name="label_classes" dataDxfId="240"/>
    <tableColumn id="10" xr3:uid="{F110ECCA-A3FE-254F-91AA-1117A70D63F4}" name="accuracy_mean" dataDxfId="239"/>
    <tableColumn id="11" xr3:uid="{B33892A7-C326-C340-AA11-F1C3F204856D}" name="accuracy_std" dataDxfId="238"/>
    <tableColumn id="12" xr3:uid="{C0E2835B-6786-BD43-B85F-221B4B4BD1EF}" name="balanced_accuracy_mean" dataDxfId="237"/>
    <tableColumn id="13" xr3:uid="{F351253E-576D-1B49-AE1F-CC5D0BC9AA5C}" name="macro_f1_mean" dataDxfId="236"/>
    <tableColumn id="14" xr3:uid="{3ACB7A0C-D1E7-C846-9F56-91ED5628575C}" name="baseline" dataDxfId="235"/>
    <tableColumn id="15" xr3:uid="{A2455B23-3BCF-0F4A-B4A2-8C2DF6CA6AE6}" name="baseline_flag" dataDxfId="234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441A919-265C-9E46-A2CF-F117E5FB9F7B}" name="Table10" displayName="Table10" ref="AW1:BK9" totalsRowShown="0" headerRowDxfId="233" dataDxfId="232" tableBorderDxfId="231">
  <autoFilter ref="AW1:BK9" xr:uid="{F441A919-265C-9E46-A2CF-F117E5FB9F7B}"/>
  <sortState xmlns:xlrd2="http://schemas.microsoft.com/office/spreadsheetml/2017/richdata2" ref="AW2:BK9">
    <sortCondition descending="1" ref="BK2:BK9"/>
    <sortCondition ref="BH2:BH9"/>
  </sortState>
  <tableColumns count="15">
    <tableColumn id="1" xr3:uid="{AB9AF6EB-7DE4-0344-8EBA-B657E530C8D7}" name="task_name" dataDxfId="230"/>
    <tableColumn id="2" xr3:uid="{DA4A6036-110E-804C-8F0E-5CBF8DA47873}" name="task_name_better" dataDxfId="229"/>
    <tableColumn id="3" xr3:uid="{EDCDABDC-6E4F-094C-A414-EA3B6E3EE8A7}" name="model_name" dataDxfId="228"/>
    <tableColumn id="4" xr3:uid="{8F45EAF6-341A-644B-B497-8DC5DA9076A4}" name="model_name_better" dataDxfId="227"/>
    <tableColumn id="5" xr3:uid="{E9E7833B-1168-E640-87A5-B303466C51C2}" name="n_samples" dataDxfId="226"/>
    <tableColumn id="6" xr3:uid="{46E7FBBC-9BA8-AF45-B557-B95F1EA81DFC}" name="n_speakers" dataDxfId="225"/>
    <tableColumn id="7" xr3:uid="{1934DBE4-9D74-5A4F-B409-234F1BBEBD09}" name="n_classes" dataDxfId="224"/>
    <tableColumn id="8" xr3:uid="{828DADC8-335D-4D4D-B944-853E20AF89B7}" name="class_counts" dataDxfId="223"/>
    <tableColumn id="9" xr3:uid="{F2F76C4F-88F0-5C4C-A557-A613E84F8CC5}" name="label_classes" dataDxfId="222"/>
    <tableColumn id="10" xr3:uid="{0926496A-FD41-1941-A6FB-9ECC5F6D69C8}" name="accuracy_mean" dataDxfId="221"/>
    <tableColumn id="11" xr3:uid="{F6281EB0-8B31-6746-8828-E32D85F0E4A9}" name="accuracy_std" dataDxfId="220"/>
    <tableColumn id="12" xr3:uid="{4D1593B1-CDD4-C244-A90F-4C351600A6A3}" name="balanced_accuracy_mean" dataDxfId="219"/>
    <tableColumn id="13" xr3:uid="{EB02229C-26A1-124E-85E2-CD0F9A90738D}" name="macro_f1_mean" dataDxfId="218"/>
    <tableColumn id="14" xr3:uid="{C2EA40F6-9195-2148-BBD5-F849EB073690}" name="baseline" dataDxfId="217"/>
    <tableColumn id="15" xr3:uid="{B51B06C6-C178-DF4D-90EB-3CE3583698ED}" name="baseline_flag" dataDxfId="216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667DE5B-63C8-644C-8A65-CDCE2CB81EFA}" name="Table612" displayName="Table612" ref="A1:O9" totalsRowShown="0" headerRowDxfId="215" dataDxfId="213" headerRowBorderDxfId="214" tableBorderDxfId="212" totalsRowBorderDxfId="211">
  <autoFilter ref="A1:O9" xr:uid="{60600673-454E-D540-929B-9806AEB1CFAA}"/>
  <sortState xmlns:xlrd2="http://schemas.microsoft.com/office/spreadsheetml/2017/richdata2" ref="A2:O9">
    <sortCondition descending="1" ref="O2:O9"/>
    <sortCondition ref="M2:M9"/>
  </sortState>
  <tableColumns count="15">
    <tableColumn id="1" xr3:uid="{45349CEB-A041-D84F-8B00-EE4BB9BFDAF7}" name="task_name" dataDxfId="210"/>
    <tableColumn id="2" xr3:uid="{4F518381-1137-7F4A-AC81-09F42CBD1E1D}" name="task_name_better" dataDxfId="209"/>
    <tableColumn id="3" xr3:uid="{8775A339-DB61-F945-8CC2-D615D2C4278D}" name="model_name" dataDxfId="208"/>
    <tableColumn id="4" xr3:uid="{5A532087-7DB7-6A4E-B83E-D2408BDF408A}" name="model_name_better" dataDxfId="207"/>
    <tableColumn id="5" xr3:uid="{D0966563-C7A2-D944-9AB1-79521F0AB0FF}" name="n_samples" dataDxfId="206"/>
    <tableColumn id="6" xr3:uid="{5E1D9189-CD3E-F440-8590-C45A238303D0}" name="n_speakers" dataDxfId="205"/>
    <tableColumn id="7" xr3:uid="{6126C0BC-7606-A441-9DE8-198E5893B216}" name="n_classes" dataDxfId="204"/>
    <tableColumn id="8" xr3:uid="{899D7613-EFA7-5641-93C5-2E7C5E92733C}" name="class_counts" dataDxfId="203"/>
    <tableColumn id="9" xr3:uid="{C1ECC516-22F1-5E4F-894E-7B145D43583B}" name="label_classes" dataDxfId="202"/>
    <tableColumn id="10" xr3:uid="{CD6E725E-9840-C147-8256-380DEEABAC18}" name="accuracy_mean" dataDxfId="201"/>
    <tableColumn id="11" xr3:uid="{2CBC0A43-C4B3-9B4A-95DF-8666D45EA472}" name="accuracy_std" dataDxfId="200"/>
    <tableColumn id="12" xr3:uid="{8FCD6201-E684-3D4E-9D1A-C4B100795482}" name="balanced_accuracy_mean" dataDxfId="199"/>
    <tableColumn id="13" xr3:uid="{6A51450B-01E1-A74B-8D9C-7217892F95D6}" name="macro_f1_mean" dataDxfId="198"/>
    <tableColumn id="14" xr3:uid="{2E40706B-D8A1-A94C-8C61-85C2D0616017}" name="baseline" dataDxfId="197">
      <calculatedColumnFormula>1/Table612[[#This Row],[n_classes]]</calculatedColumnFormula>
    </tableColumn>
    <tableColumn id="15" xr3:uid="{CED7B555-115D-9445-8313-7972235CBCD8}" name="baseline_flag" dataDxfId="196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668E3655-CBE0-C345-B901-44D25AFA5DA4}" name="Table713" displayName="Table713" ref="Q1:AE9" totalsRowShown="0" headerRowDxfId="195" dataDxfId="194" tableBorderDxfId="193">
  <autoFilter ref="Q1:AE9" xr:uid="{F0A02FD5-3CC9-BD40-8091-AA49B1D0D2D5}"/>
  <sortState xmlns:xlrd2="http://schemas.microsoft.com/office/spreadsheetml/2017/richdata2" ref="Q2:AE9">
    <sortCondition descending="1" ref="AE2:AE9"/>
    <sortCondition ref="AC2:AC9"/>
  </sortState>
  <tableColumns count="15">
    <tableColumn id="1" xr3:uid="{0B982CCA-4D08-5946-AA62-739713317B1E}" name="task_name" dataDxfId="192"/>
    <tableColumn id="2" xr3:uid="{5A58A61D-565D-EC4C-9477-F8380748DD9B}" name="task_name_better" dataDxfId="191"/>
    <tableColumn id="3" xr3:uid="{A49E836C-C4D2-0A43-891B-DEAED191D802}" name="model_name" dataDxfId="190"/>
    <tableColumn id="4" xr3:uid="{F4FCDDA8-E594-D249-8A80-710CC89C0A7E}" name="model_name_better" dataDxfId="189"/>
    <tableColumn id="5" xr3:uid="{6237118C-BB8E-3F41-A2D5-7F3533AD69EC}" name="n_samples" dataDxfId="188"/>
    <tableColumn id="6" xr3:uid="{89AB77B8-362E-2A41-A6D1-03F889171B02}" name="n_speakers" dataDxfId="187"/>
    <tableColumn id="7" xr3:uid="{46713936-33A6-7D4B-8A2C-E1DC8FB8C17C}" name="n_classes" dataDxfId="186"/>
    <tableColumn id="8" xr3:uid="{B6667111-5998-454E-A961-598877D182DE}" name="class_counts" dataDxfId="185"/>
    <tableColumn id="9" xr3:uid="{16B99871-9D17-C046-9EA8-42485DB98496}" name="label_classes" dataDxfId="184"/>
    <tableColumn id="10" xr3:uid="{583AC752-9D0E-2944-8E4C-45A319BA3EC4}" name="accuracy_mean" dataDxfId="183"/>
    <tableColumn id="11" xr3:uid="{A7286DF0-F572-D34C-A296-35E203C2065B}" name="accuracy_std" dataDxfId="182"/>
    <tableColumn id="12" xr3:uid="{2F89CE27-1860-D84B-9F79-213AA4A67B05}" name="balanced_accuracy_mean" dataDxfId="181"/>
    <tableColumn id="13" xr3:uid="{27BC1021-3693-A146-BCD0-973DCF373A79}" name="macro_f1_mean" dataDxfId="180"/>
    <tableColumn id="14" xr3:uid="{6C205E1C-B714-A846-82AA-4792BC4A3938}" name="baseline" dataDxfId="179"/>
    <tableColumn id="15" xr3:uid="{BD289226-2F61-3749-BC69-42BD6309040A}" name="baseline_flag" dataDxfId="178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E84CD5A0-966A-7A40-A9E7-ED9AF4CA84ED}" name="Table814" displayName="Table814" ref="AG1:AU9" totalsRowShown="0" headerRowDxfId="177" dataDxfId="176" tableBorderDxfId="175">
  <autoFilter ref="AG1:AU9" xr:uid="{1A688A9D-89CE-1941-9753-779F47E2CF9B}"/>
  <sortState xmlns:xlrd2="http://schemas.microsoft.com/office/spreadsheetml/2017/richdata2" ref="AG2:AU9">
    <sortCondition descending="1" ref="AU2:AU9"/>
    <sortCondition ref="AS2:AS9"/>
  </sortState>
  <tableColumns count="15">
    <tableColumn id="1" xr3:uid="{6DF5F6BA-60C5-2046-9605-F340F69802E1}" name="task_name" dataDxfId="174"/>
    <tableColumn id="2" xr3:uid="{92C30BA1-9EED-F143-80CC-23069CAE0F8B}" name="task_name_better" dataDxfId="173"/>
    <tableColumn id="3" xr3:uid="{5215FB44-DD05-E549-A98D-DBFD021422EC}" name="model_name" dataDxfId="172"/>
    <tableColumn id="4" xr3:uid="{BC38E874-0702-8146-8E71-495A6FB62DBD}" name="model_name_better" dataDxfId="171"/>
    <tableColumn id="5" xr3:uid="{8C36221A-D978-C34C-96D8-6B4E9CE9C195}" name="n_samples" dataDxfId="170"/>
    <tableColumn id="6" xr3:uid="{66B77271-EE1C-E746-B59A-1D913FF46E16}" name="n_speakers" dataDxfId="169"/>
    <tableColumn id="7" xr3:uid="{E2F02B3A-78EA-F24C-947D-4D51964ADF26}" name="n_classes" dataDxfId="168"/>
    <tableColumn id="8" xr3:uid="{E70AB4E5-5BCF-A948-97F2-18E9F98AD998}" name="class_counts" dataDxfId="167"/>
    <tableColumn id="9" xr3:uid="{390EBEFF-8F0F-B744-9461-CD1A2A73B1D4}" name="label_classes" dataDxfId="166"/>
    <tableColumn id="10" xr3:uid="{AB82E0F3-8777-1048-BD2A-D2B8321C8811}" name="accuracy_mean" dataDxfId="165"/>
    <tableColumn id="11" xr3:uid="{CD2D1038-8761-1E4F-AFC2-F002B6E8F59A}" name="accuracy_std" dataDxfId="164"/>
    <tableColumn id="12" xr3:uid="{E8CD57B1-C769-0D4E-8EB5-E5862A483D9E}" name="balanced_accuracy_mean" dataDxfId="163"/>
    <tableColumn id="13" xr3:uid="{E1B8BCA6-DF86-8542-AEEE-B87F93CFA9AD}" name="macro_f1_mean" dataDxfId="162"/>
    <tableColumn id="14" xr3:uid="{8602C26C-5AAD-7443-BB2D-2E4EDFAA148F}" name="baseline" dataDxfId="161"/>
    <tableColumn id="15" xr3:uid="{54814253-CE1A-BC4C-9573-2E6ACE870E42}" name="baseline_flag" dataDxfId="160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2F1351A5-B62B-4C49-9A3C-72FF8AB4D71B}" name="Table1015" displayName="Table1015" ref="AW1:BK9" totalsRowShown="0" headerRowDxfId="159" dataDxfId="158" tableBorderDxfId="157">
  <autoFilter ref="AW1:BK9" xr:uid="{F441A919-265C-9E46-A2CF-F117E5FB9F7B}"/>
  <sortState xmlns:xlrd2="http://schemas.microsoft.com/office/spreadsheetml/2017/richdata2" ref="AW2:BK9">
    <sortCondition descending="1" ref="BK2:BK9"/>
    <sortCondition ref="BI2:BI9"/>
  </sortState>
  <tableColumns count="15">
    <tableColumn id="1" xr3:uid="{048E1601-9BAF-2849-ABEC-2714D673DEDE}" name="task_name" dataDxfId="156"/>
    <tableColumn id="2" xr3:uid="{3FFFFFC9-E590-CB48-840A-09E041DEC9B2}" name="task_name_better" dataDxfId="155"/>
    <tableColumn id="3" xr3:uid="{8605EFF3-C792-284D-A743-942613321050}" name="model_name" dataDxfId="154"/>
    <tableColumn id="4" xr3:uid="{EC3D026C-84D7-7C4E-8BC8-791A24739FC9}" name="model_name_better" dataDxfId="153"/>
    <tableColumn id="5" xr3:uid="{F11B29BA-7BC3-FA49-94A0-C4D35799F0E7}" name="n_samples" dataDxfId="152"/>
    <tableColumn id="6" xr3:uid="{8D3F93EE-6AE7-7B4E-A35C-24017A3FD1F7}" name="n_speakers" dataDxfId="151"/>
    <tableColumn id="7" xr3:uid="{DC23C86B-2C20-4A4D-8977-E74432CEC6B1}" name="n_classes" dataDxfId="150"/>
    <tableColumn id="8" xr3:uid="{BE48F9BD-EBCB-B94F-81AC-B44F6DE20CB4}" name="class_counts" dataDxfId="149"/>
    <tableColumn id="9" xr3:uid="{273F8844-E7E3-5643-9BF5-E9DD33928BFA}" name="label_classes" dataDxfId="148"/>
    <tableColumn id="10" xr3:uid="{04DDEF2D-60F4-B944-B77E-1713C56775D7}" name="accuracy_mean" dataDxfId="147"/>
    <tableColumn id="11" xr3:uid="{1E91CA87-8079-DD42-BEBB-FB7BC7468041}" name="accuracy_std" dataDxfId="146"/>
    <tableColumn id="12" xr3:uid="{DBD0DA3E-1B77-0B41-BFF4-43F3779431B7}" name="balanced_accuracy_mean" dataDxfId="145"/>
    <tableColumn id="13" xr3:uid="{2FEA786F-25BA-6E49-BA8C-6240EE48CEA1}" name="macro_f1_mean" dataDxfId="144"/>
    <tableColumn id="14" xr3:uid="{C9E128A6-3A88-144B-80F3-71A96FEFD8AF}" name="baseline" dataDxfId="143"/>
    <tableColumn id="15" xr3:uid="{091B0EF7-DD05-DF4F-BA9F-DAE4AA765C3C}" name="baseline_flag" dataDxfId="142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6F8EA57F-7C59-7348-AC4E-A0303A991AFE}" name="Table123" displayName="Table123" ref="A1:N29" totalsRowShown="0">
  <autoFilter ref="A1:N29" xr:uid="{6F8EA57F-7C59-7348-AC4E-A0303A991AFE}"/>
  <tableColumns count="14">
    <tableColumn id="1" xr3:uid="{F3746AC0-A71D-384F-8F52-E7C05856EA37}" name="task_name"/>
    <tableColumn id="14" xr3:uid="{EA452131-E8A6-EC49-A8D8-BD308140CD48}" name="task_name_better"/>
    <tableColumn id="2" xr3:uid="{F725A645-FA55-BF43-BDCA-7BECCF49ED48}" name="model_name"/>
    <tableColumn id="13" xr3:uid="{2201CFA7-33B5-0B41-96A3-EBB4C390269B}" name="model_name_better"/>
    <tableColumn id="3" xr3:uid="{1009D723-5972-D747-A61F-B0A7538F9019}" name="n_samples"/>
    <tableColumn id="4" xr3:uid="{FE03EA5A-B5A4-9243-B11F-2ED42613045F}" name="n_speakers"/>
    <tableColumn id="5" xr3:uid="{9793A716-17B6-C442-A32A-235429530F19}" name="n_classes"/>
    <tableColumn id="6" xr3:uid="{E6563120-DE72-E344-A8E2-78D9BCF23ED6}" name="class_counts"/>
    <tableColumn id="7" xr3:uid="{05BCB514-2B99-EF40-8E41-04E3C4373373}" name="label_classes"/>
    <tableColumn id="8" xr3:uid="{8B177FC1-1311-C749-8028-E2228504CA6C}" name="accuracy_mean" dataDxfId="141"/>
    <tableColumn id="9" xr3:uid="{5986B73E-D52B-1643-AFFF-96542A5371A1}" name="accuracy_std" dataDxfId="140"/>
    <tableColumn id="10" xr3:uid="{46B14B16-2FAF-DF45-BC9B-BB63EFA92FF1}" name="balanced_accuracy_mean" dataDxfId="139"/>
    <tableColumn id="11" xr3:uid="{C0417EA7-3160-ED41-9D60-3B3F5702B817}" name="macro_f1_mean" dataDxfId="138"/>
    <tableColumn id="12" xr3:uid="{834B1570-D901-5A49-A7E8-9C6D6C0D9364}" name="baseline" dataDxfId="137">
      <calculatedColumnFormula>1/Table123[[#This Row],[n_classes]]</calculatedColumnFormula>
    </tableColumn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BDF7C8BE-CD28-0B46-86BA-768803396959}" name="Table616" displayName="Table616" ref="D1:R9" totalsRowCount="1" headerRowDxfId="136" dataDxfId="134" headerRowBorderDxfId="135" tableBorderDxfId="133" totalsRowBorderDxfId="132">
  <autoFilter ref="D1:R8" xr:uid="{BDF7C8BE-CD28-0B46-86BA-768803396959}"/>
  <tableColumns count="15">
    <tableColumn id="1" xr3:uid="{7472EEAF-D259-9A45-AB22-9EA622D09AB9}" name="task_name" dataDxfId="131" totalsRowDxfId="130"/>
    <tableColumn id="2" xr3:uid="{16189637-BF56-2C44-9BCE-1D7C5EC22D51}" name="task_name_better" dataDxfId="129" totalsRowDxfId="128"/>
    <tableColumn id="3" xr3:uid="{50B3C359-20B2-7B4D-BF85-3AE82DC15E00}" name="model_name" dataDxfId="127" totalsRowDxfId="126"/>
    <tableColumn id="4" xr3:uid="{AE5A87D4-3348-4D46-A547-173E686F1C40}" name="model_name_better" dataDxfId="125" totalsRowDxfId="124"/>
    <tableColumn id="5" xr3:uid="{859D5785-5009-B048-A879-A8D7D4CB39DB}" name="n_samples" dataDxfId="123" totalsRowDxfId="122"/>
    <tableColumn id="6" xr3:uid="{7416CB02-3228-7646-9439-1A9D2F7FEBA6}" name="n_speakers" dataDxfId="121" totalsRowDxfId="120"/>
    <tableColumn id="7" xr3:uid="{CED9C78C-9ABA-5D43-9E96-573C860BDC28}" name="n_classes" dataDxfId="119" totalsRowDxfId="118"/>
    <tableColumn id="8" xr3:uid="{3864EB8C-62B0-4F41-AEC8-6D4208AEA2FA}" name="class_counts" dataDxfId="117" totalsRowDxfId="116"/>
    <tableColumn id="9" xr3:uid="{F6FDB2C2-E214-4B44-8109-FCB6C40CD307}" name="label_classes" dataDxfId="115" totalsRowDxfId="114"/>
    <tableColumn id="10" xr3:uid="{C77C9DD0-5946-A14D-B460-0BA429E14C55}" name="accuracy_mean" totalsRowFunction="custom" dataDxfId="113" totalsRowDxfId="112">
      <totalsRowFormula>AVERAGE(Table616[accuracy_mean])</totalsRowFormula>
    </tableColumn>
    <tableColumn id="11" xr3:uid="{DB4BE8B6-9115-2846-AAD8-2BCED3EFAA08}" name="accuracy_std" totalsRowFunction="custom" dataDxfId="111" totalsRowDxfId="110">
      <totalsRowFormula>AVERAGE(Table616[accuracy_std])</totalsRowFormula>
    </tableColumn>
    <tableColumn id="12" xr3:uid="{7DCCE578-08D5-7147-8AA4-91E071CFF427}" name="balanced_accuracy_mean" totalsRowFunction="custom" dataDxfId="109" totalsRowDxfId="108">
      <totalsRowFormula>AVERAGE(Table616[balanced_accuracy_mean])</totalsRowFormula>
    </tableColumn>
    <tableColumn id="13" xr3:uid="{2364C648-6271-3E4F-BE6F-DF874C0F8B42}" name="macro_f1_mean" totalsRowFunction="custom" dataDxfId="107" totalsRowDxfId="106">
      <totalsRowFormula>AVERAGE(Table616[macro_f1_mean])</totalsRowFormula>
    </tableColumn>
    <tableColumn id="14" xr3:uid="{AB40E3F9-0E1A-414B-9243-0272A847F15A}" name="baseline" dataDxfId="105" totalsRowDxfId="104">
      <calculatedColumnFormula>1/Table616[[#This Row],[n_classes]]</calculatedColumnFormula>
    </tableColumn>
    <tableColumn id="15" xr3:uid="{D33A69EE-878C-F945-98BD-5F2B4001196D}" name="baseline_flag" dataDxfId="103" totalsRowDxfId="102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DCB52C31-0EF0-7B47-BD4A-5E2F5AB93E35}" name="Table717" displayName="Table717" ref="T1:AH9" totalsRowCount="1" headerRowDxfId="101" dataDxfId="100" tableBorderDxfId="99">
  <autoFilter ref="T1:AH8" xr:uid="{DCB52C31-0EF0-7B47-BD4A-5E2F5AB93E35}"/>
  <tableColumns count="15">
    <tableColumn id="1" xr3:uid="{4B70FB52-B5DE-1B4F-92BF-EB472A3823D6}" name="task_name" dataDxfId="98" totalsRowDxfId="97"/>
    <tableColumn id="2" xr3:uid="{ADD0F473-5F59-4D4B-BEC8-BBE294DA9868}" name="task_name_better" dataDxfId="96" totalsRowDxfId="95"/>
    <tableColumn id="3" xr3:uid="{B137890D-F974-344C-8328-9DEAF370A2ED}" name="model_name" dataDxfId="94" totalsRowDxfId="93"/>
    <tableColumn id="4" xr3:uid="{329FFDEB-E4A7-F946-9F76-3CE9903AFEBF}" name="model_name_better" dataDxfId="92" totalsRowDxfId="91"/>
    <tableColumn id="5" xr3:uid="{F3438803-488B-304C-A94B-C0EC3116B209}" name="n_samples" dataDxfId="90" totalsRowDxfId="89"/>
    <tableColumn id="6" xr3:uid="{8BD1DB34-0FA1-D442-8CE3-0B55BD2B0652}" name="n_speakers" dataDxfId="88" totalsRowDxfId="87"/>
    <tableColumn id="7" xr3:uid="{76C4EF03-3143-644B-A781-E37FF9597433}" name="n_classes" dataDxfId="86" totalsRowDxfId="85"/>
    <tableColumn id="8" xr3:uid="{84B17DB9-3178-674A-8F80-42A1A0B84EE2}" name="class_counts" dataDxfId="84" totalsRowDxfId="83"/>
    <tableColumn id="9" xr3:uid="{CBCEF9D1-D6BE-964D-BEF3-0DCFA64C6FB6}" name="label_classes" dataDxfId="82" totalsRowDxfId="81"/>
    <tableColumn id="10" xr3:uid="{28A458EA-718B-914C-986C-D6F73CDA2632}" name="accuracy_mean" totalsRowFunction="custom" dataDxfId="80" totalsRowDxfId="79">
      <totalsRowFormula>AVERAGE(Table717[accuracy_mean])</totalsRowFormula>
    </tableColumn>
    <tableColumn id="11" xr3:uid="{D438CB8B-8FFD-BD40-B8F2-C3772FBC24CE}" name="accuracy_std" totalsRowFunction="custom" dataDxfId="78" totalsRowDxfId="77">
      <totalsRowFormula>AVERAGE(Table717[accuracy_std])</totalsRowFormula>
    </tableColumn>
    <tableColumn id="12" xr3:uid="{4B76B96C-8E58-AE41-80D6-E368451CE388}" name="balanced_accuracy_mean" totalsRowFunction="custom" dataDxfId="76" totalsRowDxfId="75">
      <totalsRowFormula>AVERAGE(Table717[balanced_accuracy_mean])</totalsRowFormula>
    </tableColumn>
    <tableColumn id="13" xr3:uid="{8DBF59EE-4133-0447-BECA-A621AC9B3961}" name="macro_f1_mean" totalsRowFunction="custom" dataDxfId="74" totalsRowDxfId="73">
      <totalsRowFormula>AVERAGE(Table717[macro_f1_mean])</totalsRowFormula>
    </tableColumn>
    <tableColumn id="14" xr3:uid="{119F8769-B239-C54A-B68F-20E20CB81FF8}" name="baseline" dataDxfId="72" totalsRowDxfId="71"/>
    <tableColumn id="15" xr3:uid="{8DB0E524-8DDA-6547-A17C-2AFA7EC02723}" name="baseline_flag" dataDxfId="70" totalsRowDxfId="69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C3C7F625-BA4A-EF47-B9E1-CE0E2D7104EF}" name="Table818" displayName="Table818" ref="AJ1:AX9" totalsRowCount="1" headerRowDxfId="68" dataDxfId="67" tableBorderDxfId="66">
  <autoFilter ref="AJ1:AX8" xr:uid="{C3C7F625-BA4A-EF47-B9E1-CE0E2D7104EF}"/>
  <tableColumns count="15">
    <tableColumn id="1" xr3:uid="{4D80AB34-3DB6-7E4F-AF41-61E0133E14CC}" name="task_name" dataDxfId="65" totalsRowDxfId="64"/>
    <tableColumn id="2" xr3:uid="{9D882EAB-A15C-0540-9C19-402AAA7C6310}" name="task_name_better" dataDxfId="63" totalsRowDxfId="62"/>
    <tableColumn id="3" xr3:uid="{CFAF72D3-13B0-3145-96BF-8141C9766B9C}" name="model_name" dataDxfId="61" totalsRowDxfId="60"/>
    <tableColumn id="4" xr3:uid="{36D39CD7-4999-AE4F-8AEC-9A44F02DE17F}" name="model_name_better" dataDxfId="59" totalsRowDxfId="58"/>
    <tableColumn id="5" xr3:uid="{5B476CF5-1ADE-8A46-B7BE-9ED2EC289575}" name="n_samples" dataDxfId="57" totalsRowDxfId="56"/>
    <tableColumn id="6" xr3:uid="{2E90FEFF-B2CF-8444-A2A1-869821DB6D57}" name="n_speakers" dataDxfId="55" totalsRowDxfId="54"/>
    <tableColumn id="7" xr3:uid="{8C0054C4-88A9-4A42-B485-E62740B692FD}" name="n_classes" dataDxfId="53" totalsRowDxfId="52"/>
    <tableColumn id="8" xr3:uid="{6F685472-0DBD-9C43-A104-E7CEC10575AE}" name="class_counts" dataDxfId="51" totalsRowDxfId="50"/>
    <tableColumn id="9" xr3:uid="{E7F034D6-7E1C-534F-B99B-E1CA590EDB16}" name="label_classes" dataDxfId="49" totalsRowDxfId="48"/>
    <tableColumn id="10" xr3:uid="{5CFFF1E3-69A8-484B-A626-2BA87EAC2BDD}" name="accuracy_mean" totalsRowFunction="custom" dataDxfId="47" totalsRowDxfId="46">
      <totalsRowFormula>AVERAGE(Table818[accuracy_mean])</totalsRowFormula>
    </tableColumn>
    <tableColumn id="11" xr3:uid="{EFAB1F9E-A205-7344-903D-0F87C9075B99}" name="accuracy_std" totalsRowFunction="custom" dataDxfId="45" totalsRowDxfId="44">
      <totalsRowFormula>AVERAGE(Table818[accuracy_std])</totalsRowFormula>
    </tableColumn>
    <tableColumn id="12" xr3:uid="{68D2024D-44C0-8643-B984-36A81B11A377}" name="balanced_accuracy_mean" totalsRowFunction="custom" dataDxfId="43" totalsRowDxfId="42">
      <totalsRowFormula>AVERAGE(Table818[balanced_accuracy_mean])</totalsRowFormula>
    </tableColumn>
    <tableColumn id="13" xr3:uid="{F169C9A4-2C80-9D42-ABF9-328AC128DA6B}" name="macro_f1_mean" totalsRowFunction="custom" dataDxfId="41" totalsRowDxfId="40">
      <totalsRowFormula>AVERAGE(Table818[macro_f1_mean])</totalsRowFormula>
    </tableColumn>
    <tableColumn id="14" xr3:uid="{A1BF9E9F-257E-9B44-A6EE-DFC8F9D2433D}" name="baseline" dataDxfId="39" totalsRowDxfId="38"/>
    <tableColumn id="15" xr3:uid="{A84135B1-4E59-EB41-AB06-8EFC604A868C}" name="baseline_flag" dataDxfId="37" totalsRowDxfId="36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39FE54C9-F194-BD49-99CB-E61EADED838B}" name="Table1019" displayName="Table1019" ref="AZ1:BN9" totalsRowCount="1" headerRowDxfId="35" dataDxfId="34" tableBorderDxfId="33">
  <autoFilter ref="AZ1:BN8" xr:uid="{39FE54C9-F194-BD49-99CB-E61EADED838B}"/>
  <tableColumns count="15">
    <tableColumn id="1" xr3:uid="{9477A47D-69C4-D540-8383-D4D3D53769C5}" name="task_name" dataDxfId="32" totalsRowDxfId="31"/>
    <tableColumn id="2" xr3:uid="{1DC11231-2C0B-1947-B6DE-7B370340B54D}" name="task_name_better" dataDxfId="30" totalsRowDxfId="29"/>
    <tableColumn id="3" xr3:uid="{BBC1F18C-512B-C642-BD0C-1B047A8E3E34}" name="model_name" dataDxfId="28" totalsRowDxfId="27"/>
    <tableColumn id="4" xr3:uid="{D8357708-5F61-0540-82B7-42EB27577DCC}" name="model_name_better" dataDxfId="26" totalsRowDxfId="25"/>
    <tableColumn id="5" xr3:uid="{D1AE0EF1-1C42-AF42-B9E3-C121FDCFEDB9}" name="n_samples" dataDxfId="24" totalsRowDxfId="23"/>
    <tableColumn id="6" xr3:uid="{58D62AA5-81B8-8143-92D9-4D548560426F}" name="n_speakers" dataDxfId="22" totalsRowDxfId="21"/>
    <tableColumn id="7" xr3:uid="{3853B24B-7B06-D644-9E5E-073C7B40D951}" name="n_classes" dataDxfId="20" totalsRowDxfId="19"/>
    <tableColumn id="8" xr3:uid="{03E5E9C2-6ACA-BA46-8404-0DC58F4DEA8E}" name="class_counts" dataDxfId="18" totalsRowDxfId="17"/>
    <tableColumn id="9" xr3:uid="{855655E0-E122-6C46-A834-84C582250241}" name="label_classes" dataDxfId="16" totalsRowDxfId="15"/>
    <tableColumn id="10" xr3:uid="{B1F906A4-5117-ED45-971D-95645A316F9A}" name="accuracy_mean" totalsRowFunction="custom" dataDxfId="14" totalsRowDxfId="13">
      <totalsRowFormula>AVERAGE(Table1019[accuracy_mean])</totalsRowFormula>
    </tableColumn>
    <tableColumn id="11" xr3:uid="{1027F3A9-AB21-F043-A569-5044107D47A4}" name="accuracy_std" totalsRowFunction="custom" dataDxfId="12" totalsRowDxfId="11">
      <totalsRowFormula>AVERAGE(Table1019[accuracy_std])</totalsRowFormula>
    </tableColumn>
    <tableColumn id="12" xr3:uid="{2691287E-553E-4740-8037-3EF6C05C1A97}" name="balanced_accuracy_mean" totalsRowFunction="custom" dataDxfId="10" totalsRowDxfId="9">
      <totalsRowFormula>AVERAGE(Table1019[balanced_accuracy_mean])</totalsRowFormula>
    </tableColumn>
    <tableColumn id="13" xr3:uid="{5828D780-3588-BC45-B874-85C074F29CDD}" name="macro_f1_mean" totalsRowFunction="custom" dataDxfId="8" totalsRowDxfId="7">
      <totalsRowFormula>AVERAGE(Table1019[macro_f1_mean])</totalsRowFormula>
    </tableColumn>
    <tableColumn id="14" xr3:uid="{24B5D906-90B1-D749-B78C-42C19B814EE5}" name="baseline" dataDxfId="6" totalsRowDxfId="5"/>
    <tableColumn id="15" xr3:uid="{5C40E131-676C-7C4C-9B27-FDC5FE43D0E0}" name="baseline_flag" dataDxfId="4" totalsRowDxfId="3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92AEF3A2-60BC-6C49-8099-9D5F6A0E0D0A}" name="Table19" displayName="Table19" ref="A1:B5" totalsRowShown="0" headerRowDxfId="2">
  <autoFilter ref="A1:B5" xr:uid="{92AEF3A2-60BC-6C49-8099-9D5F6A0E0D0A}"/>
  <sortState xmlns:xlrd2="http://schemas.microsoft.com/office/spreadsheetml/2017/richdata2" ref="A2:B5">
    <sortCondition ref="B1:B5"/>
  </sortState>
  <tableColumns count="2">
    <tableColumn id="1" xr3:uid="{3A1920BF-BBD9-B448-B23C-323F6C1608F8}" name="task_name_better" dataDxfId="1"/>
    <tableColumn id="2" xr3:uid="{E259595E-513F-314C-8A70-D12816084270}" name="average_balanced_accuracy" dataDxfId="0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1534E8F6-8777-8548-9273-DDE796CC4AD5}" name="Table21" displayName="Table21" ref="A1:Q5" totalsRowShown="0" headerRowDxfId="314" dataDxfId="312" headerRowBorderDxfId="313">
  <autoFilter ref="A1:Q5" xr:uid="{1534E8F6-8777-8548-9273-DDE796CC4AD5}"/>
  <sortState xmlns:xlrd2="http://schemas.microsoft.com/office/spreadsheetml/2017/richdata2" ref="A2:Q5">
    <sortCondition ref="Q1:Q5"/>
  </sortState>
  <tableColumns count="17">
    <tableColumn id="1" xr3:uid="{4A1966FE-9A38-E846-B407-D013B37578E7}" name="task_name" dataDxfId="311"/>
    <tableColumn id="2" xr3:uid="{0BCB2DE4-097B-E148-87BD-2E193945FD62}" name="task_name_better" dataDxfId="310"/>
    <tableColumn id="3" xr3:uid="{56848E31-2EDB-FB41-9C74-8272FE5DF2E8}" name="model_name" dataDxfId="309"/>
    <tableColumn id="4" xr3:uid="{B256C18A-E79F-9948-BF04-A6BDF05A8AD1}" name="model_name_better" dataDxfId="308"/>
    <tableColumn id="17" xr3:uid="{F011791E-E22E-014B-9B70-1A5D5E63EF8D}" name="task_model_better" dataDxfId="307">
      <calculatedColumnFormula>Table21[[#This Row],[task_name_better]] &amp; CHAR(10) &amp; Table21[[#This Row],[model_name_better]]</calculatedColumnFormula>
    </tableColumn>
    <tableColumn id="5" xr3:uid="{D9D9C5E8-7D1A-7140-BBE7-5C9F37EACA88}" name="n_samples" dataDxfId="306"/>
    <tableColumn id="6" xr3:uid="{F4D3DD94-D03C-4C4C-8CCF-C99F8AA9F3AF}" name="n_speakers" dataDxfId="305"/>
    <tableColumn id="7" xr3:uid="{E85278F5-B1B2-BD49-8161-DECAA3EEE630}" name="n_classes" dataDxfId="304"/>
    <tableColumn id="8" xr3:uid="{465237E7-E18F-6940-857E-D4E05F780A5B}" name="class_counts" dataDxfId="303"/>
    <tableColumn id="9" xr3:uid="{E9777A1F-89C2-1844-A73B-E9585988FDC7}" name="label_classes" dataDxfId="302"/>
    <tableColumn id="10" xr3:uid="{8A2DD08C-07AD-C744-AE1B-87A5A76DC79E}" name="accuracy_mean" dataDxfId="301"/>
    <tableColumn id="11" xr3:uid="{AC1C0707-0C39-284C-9EBF-182560FB9735}" name="accuracy_std" dataDxfId="300"/>
    <tableColumn id="12" xr3:uid="{83DCFB9B-2C7F-D942-B212-10B4B76F05B2}" name="balanced_accuracy_mean" dataDxfId="299"/>
    <tableColumn id="13" xr3:uid="{0274CAD7-D24B-ED48-90E6-2D09115C0887}" name="macro_f1_mean" dataDxfId="298"/>
    <tableColumn id="14" xr3:uid="{9388C3B3-3449-A34F-8BC7-158E8900D51B}" name="baseline" dataDxfId="297"/>
    <tableColumn id="15" xr3:uid="{E3374E9D-17F7-6A47-B0ED-60765489A491}" name="baseline_flag" dataDxfId="296"/>
    <tableColumn id="16" xr3:uid="{BFD3C591-446C-B84A-A8E7-12DF6C6E3319}" name="RelativeImprovement" dataDxfId="295">
      <calculatedColumnFormula>(Table21[[#This Row],[balanced_accuracy_mean]]-Table21[[#This Row],[baseline]])/Table21[[#This Row],[baseline]]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drawing" Target="../drawings/drawing2.xml"/><Relationship Id="rId5" Type="http://schemas.openxmlformats.org/officeDocument/2006/relationships/table" Target="../tables/table9.xml"/><Relationship Id="rId4" Type="http://schemas.openxmlformats.org/officeDocument/2006/relationships/table" Target="../tables/table8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table" Target="../tables/table11.xml"/><Relationship Id="rId1" Type="http://schemas.openxmlformats.org/officeDocument/2006/relationships/drawing" Target="../drawings/drawing4.xml"/><Relationship Id="rId6" Type="http://schemas.openxmlformats.org/officeDocument/2006/relationships/table" Target="../tables/table15.xml"/><Relationship Id="rId5" Type="http://schemas.openxmlformats.org/officeDocument/2006/relationships/table" Target="../tables/table14.xml"/><Relationship Id="rId4" Type="http://schemas.openxmlformats.org/officeDocument/2006/relationships/table" Target="../tables/table1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ADD84-C6A1-DF41-88C2-45456822F4C8}">
  <dimension ref="A1:N29"/>
  <sheetViews>
    <sheetView workbookViewId="0">
      <selection sqref="A1:XFD29"/>
    </sheetView>
  </sheetViews>
  <sheetFormatPr baseColWidth="10" defaultRowHeight="16" x14ac:dyDescent="0.2"/>
  <cols>
    <col min="1" max="1" width="17" bestFit="1" customWidth="1"/>
    <col min="2" max="2" width="43.83203125" bestFit="1" customWidth="1"/>
    <col min="3" max="3" width="14.33203125" bestFit="1" customWidth="1"/>
    <col min="4" max="4" width="26.1640625" bestFit="1" customWidth="1"/>
    <col min="5" max="5" width="12.6640625" bestFit="1" customWidth="1"/>
    <col min="6" max="6" width="13.1640625" bestFit="1" customWidth="1"/>
    <col min="7" max="7" width="12" bestFit="1" customWidth="1"/>
    <col min="8" max="8" width="49.83203125" bestFit="1" customWidth="1"/>
    <col min="9" max="9" width="34" bestFit="1" customWidth="1"/>
    <col min="10" max="10" width="19.83203125" bestFit="1" customWidth="1"/>
    <col min="11" max="11" width="20.83203125" bestFit="1" customWidth="1"/>
    <col min="12" max="12" width="25.33203125" bestFit="1" customWidth="1"/>
    <col min="13" max="13" width="19.83203125" bestFit="1" customWidth="1"/>
  </cols>
  <sheetData>
    <row r="1" spans="1:14" x14ac:dyDescent="0.2">
      <c r="A1" t="s">
        <v>0</v>
      </c>
      <c r="B1" t="s">
        <v>32</v>
      </c>
      <c r="C1" t="s">
        <v>1</v>
      </c>
      <c r="D1" t="s">
        <v>31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30</v>
      </c>
    </row>
    <row r="2" spans="1:14" x14ac:dyDescent="0.2">
      <c r="A2" t="s">
        <v>11</v>
      </c>
      <c r="B2" s="8" t="s">
        <v>33</v>
      </c>
      <c r="C2" t="s">
        <v>12</v>
      </c>
      <c r="D2" s="12" t="s">
        <v>37</v>
      </c>
      <c r="E2">
        <v>1618</v>
      </c>
      <c r="F2">
        <v>206</v>
      </c>
      <c r="G2">
        <v>2</v>
      </c>
      <c r="H2" t="s">
        <v>13</v>
      </c>
      <c r="I2" t="s">
        <v>14</v>
      </c>
      <c r="J2" s="6">
        <v>0.70587470855788703</v>
      </c>
      <c r="K2" s="4">
        <v>8.1253599867057394E-2</v>
      </c>
      <c r="L2" s="7">
        <v>0.68096475492059005</v>
      </c>
      <c r="M2" s="7">
        <v>0.66823070364772896</v>
      </c>
      <c r="N2" s="6">
        <f>1/Table1[[#This Row],[n_classes]]</f>
        <v>0.5</v>
      </c>
    </row>
    <row r="3" spans="1:14" x14ac:dyDescent="0.2">
      <c r="A3" t="s">
        <v>11</v>
      </c>
      <c r="B3" s="8" t="s">
        <v>33</v>
      </c>
      <c r="C3" t="s">
        <v>15</v>
      </c>
      <c r="D3" s="12" t="s">
        <v>35</v>
      </c>
      <c r="E3">
        <v>1618</v>
      </c>
      <c r="F3">
        <v>206</v>
      </c>
      <c r="G3">
        <v>2</v>
      </c>
      <c r="H3" t="s">
        <v>13</v>
      </c>
      <c r="I3" t="s">
        <v>14</v>
      </c>
      <c r="J3" s="7">
        <v>0.71329549363605005</v>
      </c>
      <c r="K3" s="4">
        <v>7.7252774275626504E-2</v>
      </c>
      <c r="L3" s="7">
        <v>0.66886235312724296</v>
      </c>
      <c r="M3" s="7">
        <v>0.66418586317788497</v>
      </c>
      <c r="N3" s="6">
        <f>1/Table1[[#This Row],[n_classes]]</f>
        <v>0.5</v>
      </c>
    </row>
    <row r="4" spans="1:14" x14ac:dyDescent="0.2">
      <c r="A4" t="s">
        <v>11</v>
      </c>
      <c r="B4" s="8" t="s">
        <v>33</v>
      </c>
      <c r="C4" t="s">
        <v>16</v>
      </c>
      <c r="D4" s="12" t="s">
        <v>36</v>
      </c>
      <c r="E4">
        <v>1618</v>
      </c>
      <c r="F4">
        <v>206</v>
      </c>
      <c r="G4">
        <v>2</v>
      </c>
      <c r="H4" t="s">
        <v>13</v>
      </c>
      <c r="I4" t="s">
        <v>14</v>
      </c>
      <c r="J4" s="7">
        <v>0.702774911134044</v>
      </c>
      <c r="K4" s="4">
        <v>6.0560773455026001E-2</v>
      </c>
      <c r="L4" s="7">
        <v>0.66079154974212795</v>
      </c>
      <c r="M4" s="7">
        <v>0.65547093403319201</v>
      </c>
      <c r="N4" s="6">
        <f>1/Table1[[#This Row],[n_classes]]</f>
        <v>0.5</v>
      </c>
    </row>
    <row r="5" spans="1:14" x14ac:dyDescent="0.2">
      <c r="A5" t="s">
        <v>11</v>
      </c>
      <c r="B5" s="8" t="s">
        <v>33</v>
      </c>
      <c r="C5" t="s">
        <v>17</v>
      </c>
      <c r="D5" s="12" t="s">
        <v>38</v>
      </c>
      <c r="E5">
        <v>1618</v>
      </c>
      <c r="F5">
        <v>206</v>
      </c>
      <c r="G5">
        <v>2</v>
      </c>
      <c r="H5" t="s">
        <v>13</v>
      </c>
      <c r="I5" t="s">
        <v>14</v>
      </c>
      <c r="J5" s="7">
        <v>0.55391010205251601</v>
      </c>
      <c r="K5" s="5">
        <v>0.120158331311592</v>
      </c>
      <c r="L5" s="6">
        <v>0.63461141862729398</v>
      </c>
      <c r="M5" s="7">
        <v>0.55137596337485495</v>
      </c>
      <c r="N5" s="6">
        <f>1/Table1[[#This Row],[n_classes]]</f>
        <v>0.5</v>
      </c>
    </row>
    <row r="6" spans="1:14" x14ac:dyDescent="0.2">
      <c r="A6" t="s">
        <v>11</v>
      </c>
      <c r="B6" s="8" t="s">
        <v>33</v>
      </c>
      <c r="C6" t="s">
        <v>18</v>
      </c>
      <c r="D6" s="12" t="s">
        <v>39</v>
      </c>
      <c r="E6">
        <v>1618</v>
      </c>
      <c r="F6">
        <v>206</v>
      </c>
      <c r="G6">
        <v>2</v>
      </c>
      <c r="H6" t="s">
        <v>13</v>
      </c>
      <c r="I6" t="s">
        <v>14</v>
      </c>
      <c r="J6" s="7">
        <v>0.67317203684592697</v>
      </c>
      <c r="K6" s="5">
        <v>0.13743133133362201</v>
      </c>
      <c r="L6" s="7">
        <v>0.59407242140559602</v>
      </c>
      <c r="M6" s="7">
        <v>0.60234304846693698</v>
      </c>
      <c r="N6" s="6">
        <f>1/Table1[[#This Row],[n_classes]]</f>
        <v>0.5</v>
      </c>
    </row>
    <row r="7" spans="1:14" x14ac:dyDescent="0.2">
      <c r="A7" t="s">
        <v>11</v>
      </c>
      <c r="B7" s="8" t="s">
        <v>33</v>
      </c>
      <c r="C7" t="s">
        <v>19</v>
      </c>
      <c r="D7" s="12" t="s">
        <v>40</v>
      </c>
      <c r="E7">
        <v>1618</v>
      </c>
      <c r="F7">
        <v>206</v>
      </c>
      <c r="G7">
        <v>2</v>
      </c>
      <c r="H7" t="s">
        <v>13</v>
      </c>
      <c r="I7" t="s">
        <v>14</v>
      </c>
      <c r="J7" s="7">
        <v>0.61997477353514496</v>
      </c>
      <c r="K7" s="4">
        <v>9.9890237040341098E-2</v>
      </c>
      <c r="L7" s="7">
        <v>0.56095113331150204</v>
      </c>
      <c r="M7" s="7">
        <v>0.55796863691364196</v>
      </c>
      <c r="N7" s="6">
        <f>1/Table1[[#This Row],[n_classes]]</f>
        <v>0.5</v>
      </c>
    </row>
    <row r="8" spans="1:14" x14ac:dyDescent="0.2">
      <c r="A8" t="s">
        <v>11</v>
      </c>
      <c r="B8" s="8" t="s">
        <v>33</v>
      </c>
      <c r="C8" t="s">
        <v>20</v>
      </c>
      <c r="D8" s="17" t="s">
        <v>41</v>
      </c>
      <c r="E8">
        <v>1618</v>
      </c>
      <c r="F8">
        <v>206</v>
      </c>
      <c r="G8">
        <v>2</v>
      </c>
      <c r="H8" t="s">
        <v>13</v>
      </c>
      <c r="I8" t="s">
        <v>14</v>
      </c>
      <c r="J8" s="7">
        <v>0.66015365210411603</v>
      </c>
      <c r="K8" s="5">
        <v>0.105292336531909</v>
      </c>
      <c r="L8" s="7">
        <v>0.52727467775039505</v>
      </c>
      <c r="M8" s="7">
        <v>0.52276208318990802</v>
      </c>
      <c r="N8" s="6">
        <f>1/Table1[[#This Row],[n_classes]]</f>
        <v>0.5</v>
      </c>
    </row>
    <row r="9" spans="1:14" x14ac:dyDescent="0.2">
      <c r="A9" t="s">
        <v>21</v>
      </c>
      <c r="B9" s="8" t="s">
        <v>42</v>
      </c>
      <c r="C9" t="s">
        <v>15</v>
      </c>
      <c r="D9" s="12" t="s">
        <v>37</v>
      </c>
      <c r="E9">
        <v>1618</v>
      </c>
      <c r="F9">
        <v>206</v>
      </c>
      <c r="G9">
        <v>4</v>
      </c>
      <c r="H9" t="s">
        <v>22</v>
      </c>
      <c r="I9" t="s">
        <v>23</v>
      </c>
      <c r="J9" s="7">
        <v>0.51545239457842695</v>
      </c>
      <c r="K9" s="4">
        <v>6.5806883023499005E-2</v>
      </c>
      <c r="L9" s="7">
        <v>0.46598062321780598</v>
      </c>
      <c r="M9" s="7">
        <v>0.46040496674883702</v>
      </c>
      <c r="N9" s="6">
        <f>1/Table1[[#This Row],[n_classes]]</f>
        <v>0.25</v>
      </c>
    </row>
    <row r="10" spans="1:14" x14ac:dyDescent="0.2">
      <c r="A10" t="s">
        <v>21</v>
      </c>
      <c r="B10" s="8" t="s">
        <v>42</v>
      </c>
      <c r="C10" t="s">
        <v>12</v>
      </c>
      <c r="D10" s="12" t="s">
        <v>35</v>
      </c>
      <c r="E10">
        <v>1618</v>
      </c>
      <c r="F10">
        <v>206</v>
      </c>
      <c r="G10">
        <v>4</v>
      </c>
      <c r="H10" t="s">
        <v>22</v>
      </c>
      <c r="I10" t="s">
        <v>23</v>
      </c>
      <c r="J10" s="7">
        <v>0.51013041423493199</v>
      </c>
      <c r="K10" s="4">
        <v>6.8048614536495702E-2</v>
      </c>
      <c r="L10" s="7">
        <v>0.46321433535467899</v>
      </c>
      <c r="M10" s="7">
        <v>0.45836713923492201</v>
      </c>
      <c r="N10" s="6">
        <f>1/Table1[[#This Row],[n_classes]]</f>
        <v>0.25</v>
      </c>
    </row>
    <row r="11" spans="1:14" x14ac:dyDescent="0.2">
      <c r="A11" t="s">
        <v>21</v>
      </c>
      <c r="B11" s="8" t="s">
        <v>42</v>
      </c>
      <c r="C11" t="s">
        <v>16</v>
      </c>
      <c r="D11" s="12" t="s">
        <v>36</v>
      </c>
      <c r="E11">
        <v>1618</v>
      </c>
      <c r="F11">
        <v>206</v>
      </c>
      <c r="G11">
        <v>4</v>
      </c>
      <c r="H11" t="s">
        <v>22</v>
      </c>
      <c r="I11" t="s">
        <v>23</v>
      </c>
      <c r="J11" s="7">
        <v>0.48875457036082598</v>
      </c>
      <c r="K11" s="4">
        <v>6.1628216396525597E-2</v>
      </c>
      <c r="L11" s="7">
        <v>0.44647137940092102</v>
      </c>
      <c r="M11" s="7">
        <v>0.44383701982738799</v>
      </c>
      <c r="N11" s="6">
        <f>1/Table1[[#This Row],[n_classes]]</f>
        <v>0.25</v>
      </c>
    </row>
    <row r="12" spans="1:14" x14ac:dyDescent="0.2">
      <c r="A12" t="s">
        <v>21</v>
      </c>
      <c r="B12" s="8" t="s">
        <v>42</v>
      </c>
      <c r="C12" t="s">
        <v>18</v>
      </c>
      <c r="D12" s="12" t="s">
        <v>38</v>
      </c>
      <c r="E12">
        <v>1618</v>
      </c>
      <c r="F12">
        <v>206</v>
      </c>
      <c r="G12">
        <v>4</v>
      </c>
      <c r="H12" t="s">
        <v>22</v>
      </c>
      <c r="I12" t="s">
        <v>23</v>
      </c>
      <c r="J12" s="7">
        <v>0.51805798534978298</v>
      </c>
      <c r="K12" s="4">
        <v>5.2789359447513201E-2</v>
      </c>
      <c r="L12" s="7">
        <v>0.43275156795208303</v>
      </c>
      <c r="M12" s="7">
        <v>0.40462465246836699</v>
      </c>
      <c r="N12" s="6">
        <f>1/Table1[[#This Row],[n_classes]]</f>
        <v>0.25</v>
      </c>
    </row>
    <row r="13" spans="1:14" x14ac:dyDescent="0.2">
      <c r="A13" t="s">
        <v>21</v>
      </c>
      <c r="B13" s="8" t="s">
        <v>42</v>
      </c>
      <c r="C13" t="s">
        <v>20</v>
      </c>
      <c r="D13" s="12" t="s">
        <v>39</v>
      </c>
      <c r="E13">
        <v>1618</v>
      </c>
      <c r="F13">
        <v>206</v>
      </c>
      <c r="G13">
        <v>4</v>
      </c>
      <c r="H13" t="s">
        <v>22</v>
      </c>
      <c r="I13" t="s">
        <v>23</v>
      </c>
      <c r="J13" s="7">
        <v>0.52356447763176395</v>
      </c>
      <c r="K13" s="5">
        <v>3.6909423797048299E-2</v>
      </c>
      <c r="L13" s="7">
        <v>0.42738905927207199</v>
      </c>
      <c r="M13" s="7">
        <v>0.377369354154938</v>
      </c>
      <c r="N13" s="6">
        <f>1/Table1[[#This Row],[n_classes]]</f>
        <v>0.25</v>
      </c>
    </row>
    <row r="14" spans="1:14" x14ac:dyDescent="0.2">
      <c r="A14" t="s">
        <v>21</v>
      </c>
      <c r="B14" s="8" t="s">
        <v>42</v>
      </c>
      <c r="C14" t="s">
        <v>19</v>
      </c>
      <c r="D14" s="12" t="s">
        <v>40</v>
      </c>
      <c r="E14">
        <v>1618</v>
      </c>
      <c r="F14">
        <v>206</v>
      </c>
      <c r="G14">
        <v>4</v>
      </c>
      <c r="H14" t="s">
        <v>22</v>
      </c>
      <c r="I14" t="s">
        <v>23</v>
      </c>
      <c r="J14" s="6">
        <v>0.43883992314137099</v>
      </c>
      <c r="K14" s="4">
        <v>5.3995505574256399E-2</v>
      </c>
      <c r="L14" s="7">
        <v>0.40138932958574802</v>
      </c>
      <c r="M14" s="7">
        <v>0.39808607188970002</v>
      </c>
      <c r="N14" s="6">
        <f>1/Table1[[#This Row],[n_classes]]</f>
        <v>0.25</v>
      </c>
    </row>
    <row r="15" spans="1:14" x14ac:dyDescent="0.2">
      <c r="A15" t="s">
        <v>21</v>
      </c>
      <c r="B15" s="8" t="s">
        <v>42</v>
      </c>
      <c r="C15" t="s">
        <v>17</v>
      </c>
      <c r="D15" s="17" t="s">
        <v>41</v>
      </c>
      <c r="E15">
        <v>1618</v>
      </c>
      <c r="F15">
        <v>206</v>
      </c>
      <c r="G15">
        <v>4</v>
      </c>
      <c r="H15" t="s">
        <v>22</v>
      </c>
      <c r="I15" t="s">
        <v>23</v>
      </c>
      <c r="J15" s="7">
        <v>0.39237799642138199</v>
      </c>
      <c r="K15" s="4">
        <v>6.6417622743339996E-2</v>
      </c>
      <c r="L15" s="7">
        <v>0.34600743784042298</v>
      </c>
      <c r="M15" s="7">
        <v>0.33821618650250601</v>
      </c>
      <c r="N15" s="6">
        <f>1/Table1[[#This Row],[n_classes]]</f>
        <v>0.25</v>
      </c>
    </row>
    <row r="16" spans="1:14" x14ac:dyDescent="0.2">
      <c r="A16" t="s">
        <v>24</v>
      </c>
      <c r="B16" s="17" t="s">
        <v>43</v>
      </c>
      <c r="C16" t="s">
        <v>15</v>
      </c>
      <c r="D16" s="12" t="s">
        <v>37</v>
      </c>
      <c r="E16">
        <v>1618</v>
      </c>
      <c r="F16">
        <v>206</v>
      </c>
      <c r="G16">
        <v>3</v>
      </c>
      <c r="H16" t="s">
        <v>25</v>
      </c>
      <c r="I16" t="s">
        <v>26</v>
      </c>
      <c r="J16" s="7">
        <v>0.59583190001146602</v>
      </c>
      <c r="K16" s="4">
        <v>5.6455840800081501E-2</v>
      </c>
      <c r="L16" s="7">
        <v>0.59669754106231598</v>
      </c>
      <c r="M16" s="7">
        <v>0.59716870716770198</v>
      </c>
      <c r="N16" s="6">
        <f>1/Table1[[#This Row],[n_classes]]</f>
        <v>0.33333333333333331</v>
      </c>
    </row>
    <row r="17" spans="1:14" x14ac:dyDescent="0.2">
      <c r="A17" t="s">
        <v>24</v>
      </c>
      <c r="B17" s="17" t="s">
        <v>43</v>
      </c>
      <c r="C17" t="s">
        <v>12</v>
      </c>
      <c r="D17" s="12" t="s">
        <v>35</v>
      </c>
      <c r="E17">
        <v>1618</v>
      </c>
      <c r="F17">
        <v>206</v>
      </c>
      <c r="G17">
        <v>3</v>
      </c>
      <c r="H17" t="s">
        <v>25</v>
      </c>
      <c r="I17" t="s">
        <v>26</v>
      </c>
      <c r="J17" s="7">
        <v>0.59459924320605395</v>
      </c>
      <c r="K17" s="5">
        <v>5.91861628504139E-2</v>
      </c>
      <c r="L17" s="7">
        <v>0.59603293290926296</v>
      </c>
      <c r="M17" s="7">
        <v>0.596155207737191</v>
      </c>
      <c r="N17" s="6">
        <f>1/Table1[[#This Row],[n_classes]]</f>
        <v>0.33333333333333331</v>
      </c>
    </row>
    <row r="18" spans="1:14" x14ac:dyDescent="0.2">
      <c r="A18" t="s">
        <v>24</v>
      </c>
      <c r="B18" s="17" t="s">
        <v>43</v>
      </c>
      <c r="C18" t="s">
        <v>16</v>
      </c>
      <c r="D18" s="12" t="s">
        <v>36</v>
      </c>
      <c r="E18">
        <v>1618</v>
      </c>
      <c r="F18">
        <v>206</v>
      </c>
      <c r="G18">
        <v>3</v>
      </c>
      <c r="H18" t="s">
        <v>25</v>
      </c>
      <c r="I18" t="s">
        <v>26</v>
      </c>
      <c r="J18" s="7">
        <v>0.56370064595038705</v>
      </c>
      <c r="K18" s="4">
        <v>7.0711539899786693E-2</v>
      </c>
      <c r="L18" s="7">
        <v>0.56600412465205296</v>
      </c>
      <c r="M18" s="6">
        <v>0.56274194457495597</v>
      </c>
      <c r="N18" s="6">
        <f>1/Table1[[#This Row],[n_classes]]</f>
        <v>0.33333333333333331</v>
      </c>
    </row>
    <row r="19" spans="1:14" x14ac:dyDescent="0.2">
      <c r="A19" t="s">
        <v>24</v>
      </c>
      <c r="B19" s="17" t="s">
        <v>43</v>
      </c>
      <c r="C19" t="s">
        <v>20</v>
      </c>
      <c r="D19" s="12" t="s">
        <v>38</v>
      </c>
      <c r="E19">
        <v>1618</v>
      </c>
      <c r="F19">
        <v>206</v>
      </c>
      <c r="G19">
        <v>3</v>
      </c>
      <c r="H19" t="s">
        <v>25</v>
      </c>
      <c r="I19" t="s">
        <v>26</v>
      </c>
      <c r="J19" s="7">
        <v>0.56614302641134395</v>
      </c>
      <c r="K19" s="4">
        <v>4.9036621745931902E-2</v>
      </c>
      <c r="L19" s="7">
        <v>0.56339272499384196</v>
      </c>
      <c r="M19" s="7">
        <v>0.56559590141132698</v>
      </c>
      <c r="N19" s="6">
        <f>1/Table1[[#This Row],[n_classes]]</f>
        <v>0.33333333333333331</v>
      </c>
    </row>
    <row r="20" spans="1:14" x14ac:dyDescent="0.2">
      <c r="A20" t="s">
        <v>24</v>
      </c>
      <c r="B20" s="17" t="s">
        <v>43</v>
      </c>
      <c r="C20" t="s">
        <v>18</v>
      </c>
      <c r="D20" s="12" t="s">
        <v>39</v>
      </c>
      <c r="E20">
        <v>1618</v>
      </c>
      <c r="F20">
        <v>206</v>
      </c>
      <c r="G20">
        <v>3</v>
      </c>
      <c r="H20" t="s">
        <v>25</v>
      </c>
      <c r="I20" t="s">
        <v>26</v>
      </c>
      <c r="J20" s="7">
        <v>0.55253984634789499</v>
      </c>
      <c r="K20" s="5">
        <v>3.7416395426691201E-2</v>
      </c>
      <c r="L20" s="6">
        <v>0.55403442293585503</v>
      </c>
      <c r="M20" s="7">
        <v>0.55822580977011804</v>
      </c>
      <c r="N20" s="6">
        <f>1/Table1[[#This Row],[n_classes]]</f>
        <v>0.33333333333333331</v>
      </c>
    </row>
    <row r="21" spans="1:14" x14ac:dyDescent="0.2">
      <c r="A21" t="s">
        <v>24</v>
      </c>
      <c r="B21" s="17" t="s">
        <v>43</v>
      </c>
      <c r="C21" t="s">
        <v>19</v>
      </c>
      <c r="D21" s="12" t="s">
        <v>40</v>
      </c>
      <c r="E21">
        <v>1618</v>
      </c>
      <c r="F21">
        <v>206</v>
      </c>
      <c r="G21">
        <v>3</v>
      </c>
      <c r="H21" t="s">
        <v>25</v>
      </c>
      <c r="I21" t="s">
        <v>26</v>
      </c>
      <c r="J21" s="7">
        <v>0.49633451821274299</v>
      </c>
      <c r="K21" s="4">
        <v>5.1446687823887498E-2</v>
      </c>
      <c r="L21" s="7">
        <v>0.49899361049026902</v>
      </c>
      <c r="M21" s="7">
        <v>0.50464118373071598</v>
      </c>
      <c r="N21" s="6">
        <f>1/Table1[[#This Row],[n_classes]]</f>
        <v>0.33333333333333331</v>
      </c>
    </row>
    <row r="22" spans="1:14" x14ac:dyDescent="0.2">
      <c r="A22" t="s">
        <v>24</v>
      </c>
      <c r="B22" s="17" t="s">
        <v>43</v>
      </c>
      <c r="C22" t="s">
        <v>17</v>
      </c>
      <c r="D22" s="17" t="s">
        <v>41</v>
      </c>
      <c r="E22">
        <v>1618</v>
      </c>
      <c r="F22">
        <v>206</v>
      </c>
      <c r="G22">
        <v>3</v>
      </c>
      <c r="H22" t="s">
        <v>25</v>
      </c>
      <c r="I22" t="s">
        <v>26</v>
      </c>
      <c r="J22" s="7">
        <v>0.474024385582693</v>
      </c>
      <c r="K22" s="4">
        <v>6.3241906967112002E-2</v>
      </c>
      <c r="L22" s="6">
        <v>0.48518171056732601</v>
      </c>
      <c r="M22" s="7">
        <v>0.466964140097199</v>
      </c>
      <c r="N22" s="6">
        <f>1/Table1[[#This Row],[n_classes]]</f>
        <v>0.33333333333333331</v>
      </c>
    </row>
    <row r="23" spans="1:14" x14ac:dyDescent="0.2">
      <c r="A23" t="s">
        <v>27</v>
      </c>
      <c r="B23" s="12" t="s">
        <v>44</v>
      </c>
      <c r="C23" t="s">
        <v>20</v>
      </c>
      <c r="D23" s="12" t="s">
        <v>37</v>
      </c>
      <c r="E23">
        <v>1618</v>
      </c>
      <c r="F23">
        <v>206</v>
      </c>
      <c r="G23">
        <v>2</v>
      </c>
      <c r="H23" t="s">
        <v>28</v>
      </c>
      <c r="I23" t="s">
        <v>29</v>
      </c>
      <c r="J23" s="6">
        <v>0.84180139892214201</v>
      </c>
      <c r="K23" s="4">
        <v>8.2613734032347896E-2</v>
      </c>
      <c r="L23" s="7">
        <v>0.78437523129269904</v>
      </c>
      <c r="M23" s="7">
        <v>0.79862896778877202</v>
      </c>
      <c r="N23" s="6">
        <f>1/Table1[[#This Row],[n_classes]]</f>
        <v>0.5</v>
      </c>
    </row>
    <row r="24" spans="1:14" x14ac:dyDescent="0.2">
      <c r="A24" t="s">
        <v>27</v>
      </c>
      <c r="B24" s="12" t="s">
        <v>44</v>
      </c>
      <c r="C24" t="s">
        <v>18</v>
      </c>
      <c r="D24" s="12" t="s">
        <v>35</v>
      </c>
      <c r="E24">
        <v>1618</v>
      </c>
      <c r="F24">
        <v>206</v>
      </c>
      <c r="G24">
        <v>2</v>
      </c>
      <c r="H24" t="s">
        <v>28</v>
      </c>
      <c r="I24" t="s">
        <v>29</v>
      </c>
      <c r="J24" s="7">
        <v>0.833780529755761</v>
      </c>
      <c r="K24" s="4">
        <v>7.1516343117552006E-2</v>
      </c>
      <c r="L24" s="7">
        <v>0.76782466220649703</v>
      </c>
      <c r="M24" s="7">
        <v>0.78577062889945104</v>
      </c>
      <c r="N24" s="6">
        <f>1/Table1[[#This Row],[n_classes]]</f>
        <v>0.5</v>
      </c>
    </row>
    <row r="25" spans="1:14" x14ac:dyDescent="0.2">
      <c r="A25" t="s">
        <v>27</v>
      </c>
      <c r="B25" s="12" t="s">
        <v>44</v>
      </c>
      <c r="C25" t="s">
        <v>15</v>
      </c>
      <c r="D25" s="12" t="s">
        <v>36</v>
      </c>
      <c r="E25">
        <v>1618</v>
      </c>
      <c r="F25">
        <v>206</v>
      </c>
      <c r="G25">
        <v>2</v>
      </c>
      <c r="H25" t="s">
        <v>28</v>
      </c>
      <c r="I25" t="s">
        <v>29</v>
      </c>
      <c r="J25" s="7">
        <v>0.81091617933723104</v>
      </c>
      <c r="K25" s="4">
        <v>5.7729096292023503E-2</v>
      </c>
      <c r="L25" s="7">
        <v>0.76027707711460102</v>
      </c>
      <c r="M25" s="7">
        <v>0.77041460741390499</v>
      </c>
      <c r="N25" s="6">
        <f>1/Table1[[#This Row],[n_classes]]</f>
        <v>0.5</v>
      </c>
    </row>
    <row r="26" spans="1:14" x14ac:dyDescent="0.2">
      <c r="A26" t="s">
        <v>27</v>
      </c>
      <c r="B26" s="12" t="s">
        <v>44</v>
      </c>
      <c r="C26" t="s">
        <v>12</v>
      </c>
      <c r="D26" s="12" t="s">
        <v>38</v>
      </c>
      <c r="E26">
        <v>1618</v>
      </c>
      <c r="F26">
        <v>206</v>
      </c>
      <c r="G26">
        <v>2</v>
      </c>
      <c r="H26" t="s">
        <v>28</v>
      </c>
      <c r="I26" t="s">
        <v>29</v>
      </c>
      <c r="J26" s="7">
        <v>0.80040706341015899</v>
      </c>
      <c r="K26" s="4">
        <v>5.6035353903200698E-2</v>
      </c>
      <c r="L26" s="7">
        <v>0.75555353129440495</v>
      </c>
      <c r="M26" s="7">
        <v>0.76284113302622103</v>
      </c>
      <c r="N26" s="6">
        <f>1/Table1[[#This Row],[n_classes]]</f>
        <v>0.5</v>
      </c>
    </row>
    <row r="27" spans="1:14" x14ac:dyDescent="0.2">
      <c r="A27" t="s">
        <v>27</v>
      </c>
      <c r="B27" s="12" t="s">
        <v>44</v>
      </c>
      <c r="C27" t="s">
        <v>17</v>
      </c>
      <c r="D27" s="12" t="s">
        <v>39</v>
      </c>
      <c r="E27">
        <v>1618</v>
      </c>
      <c r="F27">
        <v>206</v>
      </c>
      <c r="G27">
        <v>2</v>
      </c>
      <c r="H27" t="s">
        <v>28</v>
      </c>
      <c r="I27" t="s">
        <v>29</v>
      </c>
      <c r="J27" s="7">
        <v>0.79237854986048994</v>
      </c>
      <c r="K27" s="4">
        <v>6.7867442780557799E-2</v>
      </c>
      <c r="L27" s="7">
        <v>0.74830879405952799</v>
      </c>
      <c r="M27" s="7">
        <v>0.74993721041939598</v>
      </c>
      <c r="N27" s="6">
        <f>1/Table1[[#This Row],[n_classes]]</f>
        <v>0.5</v>
      </c>
    </row>
    <row r="28" spans="1:14" x14ac:dyDescent="0.2">
      <c r="A28" t="s">
        <v>27</v>
      </c>
      <c r="B28" s="12" t="s">
        <v>44</v>
      </c>
      <c r="C28" t="s">
        <v>16</v>
      </c>
      <c r="D28" s="12" t="s">
        <v>40</v>
      </c>
      <c r="E28">
        <v>1618</v>
      </c>
      <c r="F28">
        <v>206</v>
      </c>
      <c r="G28">
        <v>2</v>
      </c>
      <c r="H28" t="s">
        <v>28</v>
      </c>
      <c r="I28" t="s">
        <v>29</v>
      </c>
      <c r="J28" s="7">
        <v>0.786813438825822</v>
      </c>
      <c r="K28" s="4">
        <v>5.4080047031732997E-2</v>
      </c>
      <c r="L28" s="6">
        <v>0.73758878814847895</v>
      </c>
      <c r="M28" s="7">
        <v>0.74512754244860402</v>
      </c>
      <c r="N28" s="6">
        <f>1/Table1[[#This Row],[n_classes]]</f>
        <v>0.5</v>
      </c>
    </row>
    <row r="29" spans="1:14" x14ac:dyDescent="0.2">
      <c r="A29" t="s">
        <v>27</v>
      </c>
      <c r="B29" s="12" t="s">
        <v>44</v>
      </c>
      <c r="C29" t="s">
        <v>19</v>
      </c>
      <c r="D29" s="17" t="s">
        <v>41</v>
      </c>
      <c r="E29">
        <v>1618</v>
      </c>
      <c r="F29">
        <v>206</v>
      </c>
      <c r="G29">
        <v>2</v>
      </c>
      <c r="H29" t="s">
        <v>28</v>
      </c>
      <c r="I29" t="s">
        <v>29</v>
      </c>
      <c r="J29" s="7">
        <v>0.800418529985093</v>
      </c>
      <c r="K29" s="5">
        <v>5.6845936994475599E-2</v>
      </c>
      <c r="L29" s="7">
        <v>0.72445507070771498</v>
      </c>
      <c r="M29" s="7">
        <v>0.74077977016764596</v>
      </c>
      <c r="N29" s="6">
        <f>1/Table1[[#This Row],[n_classes]]</f>
        <v>0.5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E93A6-41B5-B146-8431-D7FA6CB91024}">
  <dimension ref="A1:BK17"/>
  <sheetViews>
    <sheetView workbookViewId="0">
      <selection activeCell="G43" sqref="G43"/>
    </sheetView>
  </sheetViews>
  <sheetFormatPr baseColWidth="10" defaultRowHeight="16" x14ac:dyDescent="0.2"/>
  <cols>
    <col min="1" max="1" width="13.83203125" bestFit="1" customWidth="1"/>
    <col min="2" max="2" width="31.83203125" bestFit="1" customWidth="1"/>
    <col min="3" max="3" width="14.83203125" bestFit="1" customWidth="1"/>
    <col min="4" max="4" width="26.1640625" bestFit="1" customWidth="1"/>
    <col min="5" max="5" width="12.6640625" bestFit="1" customWidth="1"/>
    <col min="6" max="6" width="13.1640625" bestFit="1" customWidth="1"/>
    <col min="7" max="7" width="12" bestFit="1" customWidth="1"/>
    <col min="8" max="8" width="23.5" bestFit="1" customWidth="1"/>
    <col min="9" max="9" width="15" bestFit="1" customWidth="1"/>
    <col min="10" max="10" width="16.6640625" bestFit="1" customWidth="1"/>
    <col min="11" max="11" width="14.6640625" bestFit="1" customWidth="1"/>
    <col min="12" max="12" width="25.33203125" bestFit="1" customWidth="1"/>
    <col min="13" max="13" width="17" bestFit="1" customWidth="1"/>
    <col min="14" max="14" width="10.6640625" bestFit="1" customWidth="1"/>
    <col min="15" max="15" width="14.6640625" bestFit="1" customWidth="1"/>
    <col min="17" max="17" width="13.83203125" bestFit="1" customWidth="1"/>
    <col min="18" max="18" width="35.33203125" bestFit="1" customWidth="1"/>
    <col min="19" max="19" width="14.83203125" bestFit="1" customWidth="1"/>
    <col min="20" max="20" width="26.1640625" bestFit="1" customWidth="1"/>
    <col min="21" max="21" width="12.6640625" bestFit="1" customWidth="1"/>
    <col min="22" max="22" width="13.1640625" bestFit="1" customWidth="1"/>
    <col min="23" max="23" width="12" bestFit="1" customWidth="1"/>
    <col min="24" max="24" width="49.83203125" bestFit="1" customWidth="1"/>
    <col min="25" max="25" width="34" bestFit="1" customWidth="1"/>
    <col min="26" max="26" width="16.6640625" bestFit="1" customWidth="1"/>
    <col min="27" max="27" width="14.6640625" bestFit="1" customWidth="1"/>
    <col min="28" max="28" width="25.33203125" bestFit="1" customWidth="1"/>
    <col min="29" max="29" width="17" bestFit="1" customWidth="1"/>
    <col min="30" max="30" width="10.6640625" bestFit="1" customWidth="1"/>
    <col min="31" max="31" width="14.5" customWidth="1"/>
    <col min="32" max="33" width="17" bestFit="1" customWidth="1"/>
    <col min="34" max="34" width="43.83203125" bestFit="1" customWidth="1"/>
    <col min="35" max="35" width="14.83203125" bestFit="1" customWidth="1"/>
    <col min="36" max="36" width="26.1640625" bestFit="1" customWidth="1"/>
    <col min="37" max="37" width="12.6640625" bestFit="1" customWidth="1"/>
    <col min="38" max="38" width="13.1640625" bestFit="1" customWidth="1"/>
    <col min="39" max="39" width="12" bestFit="1" customWidth="1"/>
    <col min="40" max="40" width="33" bestFit="1" customWidth="1"/>
    <col min="41" max="41" width="21" bestFit="1" customWidth="1"/>
    <col min="42" max="42" width="16.6640625" bestFit="1" customWidth="1"/>
    <col min="43" max="43" width="14.6640625" bestFit="1" customWidth="1"/>
    <col min="44" max="44" width="25.33203125" bestFit="1" customWidth="1"/>
    <col min="45" max="45" width="17" bestFit="1" customWidth="1"/>
    <col min="46" max="46" width="10.6640625" bestFit="1" customWidth="1"/>
    <col min="47" max="47" width="14.5" customWidth="1"/>
    <col min="48" max="48" width="30" bestFit="1" customWidth="1"/>
    <col min="49" max="49" width="12.83203125" bestFit="1" customWidth="1"/>
    <col min="50" max="50" width="30" bestFit="1" customWidth="1"/>
    <col min="51" max="51" width="14.83203125" bestFit="1" customWidth="1"/>
    <col min="52" max="52" width="26.1640625" bestFit="1" customWidth="1"/>
    <col min="53" max="53" width="12.6640625" bestFit="1" customWidth="1"/>
    <col min="54" max="54" width="13.1640625" bestFit="1" customWidth="1"/>
    <col min="55" max="55" width="12" bestFit="1" customWidth="1"/>
    <col min="56" max="56" width="21.83203125" bestFit="1" customWidth="1"/>
    <col min="57" max="57" width="15" bestFit="1" customWidth="1"/>
    <col min="58" max="58" width="16.6640625" bestFit="1" customWidth="1"/>
    <col min="59" max="59" width="14.6640625" bestFit="1" customWidth="1"/>
    <col min="60" max="60" width="25.33203125" bestFit="1" customWidth="1"/>
    <col min="61" max="61" width="17" bestFit="1" customWidth="1"/>
    <col min="62" max="62" width="10.6640625" bestFit="1" customWidth="1"/>
    <col min="63" max="63" width="14.5" customWidth="1"/>
  </cols>
  <sheetData>
    <row r="1" spans="1:63" ht="17" thickBot="1" x14ac:dyDescent="0.25">
      <c r="A1" s="9" t="s">
        <v>0</v>
      </c>
      <c r="B1" s="9" t="s">
        <v>32</v>
      </c>
      <c r="C1" s="10" t="s">
        <v>1</v>
      </c>
      <c r="D1" s="10" t="s">
        <v>31</v>
      </c>
      <c r="E1" s="10" t="s">
        <v>2</v>
      </c>
      <c r="F1" s="10" t="s">
        <v>3</v>
      </c>
      <c r="G1" s="10" t="s">
        <v>4</v>
      </c>
      <c r="H1" s="10" t="s">
        <v>5</v>
      </c>
      <c r="I1" s="10" t="s">
        <v>6</v>
      </c>
      <c r="J1" s="10" t="s">
        <v>7</v>
      </c>
      <c r="K1" s="10" t="s">
        <v>8</v>
      </c>
      <c r="L1" s="10" t="s">
        <v>9</v>
      </c>
      <c r="M1" s="10" t="s">
        <v>10</v>
      </c>
      <c r="N1" s="11" t="s">
        <v>30</v>
      </c>
      <c r="O1" s="10" t="s">
        <v>48</v>
      </c>
      <c r="Q1" s="26" t="s">
        <v>0</v>
      </c>
      <c r="R1" s="31" t="s">
        <v>32</v>
      </c>
      <c r="S1" s="31" t="s">
        <v>1</v>
      </c>
      <c r="T1" s="31" t="s">
        <v>31</v>
      </c>
      <c r="U1" s="31" t="s">
        <v>2</v>
      </c>
      <c r="V1" s="31" t="s">
        <v>3</v>
      </c>
      <c r="W1" s="31" t="s">
        <v>4</v>
      </c>
      <c r="X1" s="31" t="s">
        <v>5</v>
      </c>
      <c r="Y1" s="31" t="s">
        <v>6</v>
      </c>
      <c r="Z1" s="31" t="s">
        <v>7</v>
      </c>
      <c r="AA1" s="31" t="s">
        <v>8</v>
      </c>
      <c r="AB1" s="31" t="s">
        <v>9</v>
      </c>
      <c r="AC1" s="31" t="s">
        <v>10</v>
      </c>
      <c r="AD1" s="31" t="s">
        <v>30</v>
      </c>
      <c r="AE1" s="11" t="s">
        <v>48</v>
      </c>
      <c r="AG1" s="29" t="s">
        <v>0</v>
      </c>
      <c r="AH1" s="30" t="s">
        <v>32</v>
      </c>
      <c r="AI1" s="30" t="s">
        <v>1</v>
      </c>
      <c r="AJ1" s="30" t="s">
        <v>31</v>
      </c>
      <c r="AK1" s="30" t="s">
        <v>2</v>
      </c>
      <c r="AL1" s="30" t="s">
        <v>3</v>
      </c>
      <c r="AM1" s="30" t="s">
        <v>4</v>
      </c>
      <c r="AN1" s="30" t="s">
        <v>5</v>
      </c>
      <c r="AO1" s="30" t="s">
        <v>6</v>
      </c>
      <c r="AP1" s="30" t="s">
        <v>7</v>
      </c>
      <c r="AQ1" s="30" t="s">
        <v>8</v>
      </c>
      <c r="AR1" s="30" t="s">
        <v>9</v>
      </c>
      <c r="AS1" s="30" t="s">
        <v>10</v>
      </c>
      <c r="AT1" s="30" t="s">
        <v>30</v>
      </c>
      <c r="AU1" s="3" t="s">
        <v>48</v>
      </c>
      <c r="AW1" s="26" t="s">
        <v>0</v>
      </c>
      <c r="AX1" s="31" t="s">
        <v>32</v>
      </c>
      <c r="AY1" s="31" t="s">
        <v>1</v>
      </c>
      <c r="AZ1" s="31" t="s">
        <v>31</v>
      </c>
      <c r="BA1" s="31" t="s">
        <v>2</v>
      </c>
      <c r="BB1" s="31" t="s">
        <v>3</v>
      </c>
      <c r="BC1" s="31" t="s">
        <v>4</v>
      </c>
      <c r="BD1" s="31" t="s">
        <v>5</v>
      </c>
      <c r="BE1" s="31" t="s">
        <v>6</v>
      </c>
      <c r="BF1" s="31" t="s">
        <v>7</v>
      </c>
      <c r="BG1" s="31" t="s">
        <v>8</v>
      </c>
      <c r="BH1" s="31" t="s">
        <v>9</v>
      </c>
      <c r="BI1" s="31" t="s">
        <v>10</v>
      </c>
      <c r="BJ1" s="31" t="s">
        <v>30</v>
      </c>
      <c r="BK1" s="11" t="s">
        <v>48</v>
      </c>
    </row>
    <row r="2" spans="1:63" ht="17" thickTop="1" x14ac:dyDescent="0.2">
      <c r="A2" s="8" t="s">
        <v>11</v>
      </c>
      <c r="B2" s="8" t="s">
        <v>33</v>
      </c>
      <c r="C2" s="12" t="s">
        <v>46</v>
      </c>
      <c r="D2" s="12" t="s">
        <v>47</v>
      </c>
      <c r="E2" s="12">
        <v>1618</v>
      </c>
      <c r="F2" s="12">
        <v>206</v>
      </c>
      <c r="G2" s="12">
        <v>2</v>
      </c>
      <c r="H2" s="12" t="s">
        <v>13</v>
      </c>
      <c r="I2" s="12" t="s">
        <v>14</v>
      </c>
      <c r="J2" s="13">
        <f>1/Table6[[#This Row],[n_classes]]</f>
        <v>0.5</v>
      </c>
      <c r="K2" s="12">
        <v>0</v>
      </c>
      <c r="L2" s="13">
        <f>1/Table6[[#This Row],[n_classes]]</f>
        <v>0.5</v>
      </c>
      <c r="M2" s="13">
        <f>1/Table6[[#This Row],[n_classes]]</f>
        <v>0.5</v>
      </c>
      <c r="N2" s="16">
        <f>1/Table6[[#This Row],[n_classes]]</f>
        <v>0.5</v>
      </c>
      <c r="O2" s="27">
        <v>1</v>
      </c>
      <c r="Q2" s="32" t="s">
        <v>21</v>
      </c>
      <c r="R2" s="23" t="s">
        <v>42</v>
      </c>
      <c r="S2" s="33" t="s">
        <v>46</v>
      </c>
      <c r="T2" s="33" t="s">
        <v>47</v>
      </c>
      <c r="U2" s="33">
        <v>1618</v>
      </c>
      <c r="V2" s="33">
        <v>206</v>
      </c>
      <c r="W2" s="33">
        <v>4</v>
      </c>
      <c r="X2" s="33" t="s">
        <v>22</v>
      </c>
      <c r="Y2" s="33" t="s">
        <v>23</v>
      </c>
      <c r="Z2" s="34">
        <v>0.25</v>
      </c>
      <c r="AA2" s="33">
        <v>0</v>
      </c>
      <c r="AB2" s="34">
        <v>0.25</v>
      </c>
      <c r="AC2" s="34">
        <v>0.25</v>
      </c>
      <c r="AD2" s="34">
        <v>0.25</v>
      </c>
      <c r="AE2" s="38">
        <v>1</v>
      </c>
      <c r="AG2" s="32" t="s">
        <v>24</v>
      </c>
      <c r="AH2" s="23" t="s">
        <v>43</v>
      </c>
      <c r="AI2" s="33" t="s">
        <v>46</v>
      </c>
      <c r="AJ2" s="33" t="s">
        <v>47</v>
      </c>
      <c r="AK2" s="33">
        <v>1618</v>
      </c>
      <c r="AL2" s="33">
        <v>206</v>
      </c>
      <c r="AM2" s="33">
        <v>3</v>
      </c>
      <c r="AN2" s="33" t="s">
        <v>25</v>
      </c>
      <c r="AO2" s="33" t="s">
        <v>26</v>
      </c>
      <c r="AP2" s="34">
        <v>0.33333333333333331</v>
      </c>
      <c r="AQ2" s="33">
        <v>0</v>
      </c>
      <c r="AR2" s="34">
        <v>0.33333333333333331</v>
      </c>
      <c r="AS2" s="34">
        <v>0.33333333333333331</v>
      </c>
      <c r="AT2" s="34">
        <v>0.33333333333333331</v>
      </c>
      <c r="AU2" s="38">
        <v>1</v>
      </c>
      <c r="AW2" s="32" t="s">
        <v>27</v>
      </c>
      <c r="AX2" s="23" t="s">
        <v>44</v>
      </c>
      <c r="AY2" s="33" t="s">
        <v>46</v>
      </c>
      <c r="AZ2" s="33" t="s">
        <v>47</v>
      </c>
      <c r="BA2" s="33">
        <v>1618</v>
      </c>
      <c r="BB2" s="33">
        <v>206</v>
      </c>
      <c r="BC2" s="33">
        <v>2</v>
      </c>
      <c r="BD2" s="33" t="s">
        <v>28</v>
      </c>
      <c r="BE2" s="33" t="s">
        <v>29</v>
      </c>
      <c r="BF2" s="34">
        <f>1/Table6[[#This Row],[n_classes]]</f>
        <v>0.5</v>
      </c>
      <c r="BG2" s="33">
        <v>0</v>
      </c>
      <c r="BH2" s="34">
        <f>1/Table6[[#This Row],[n_classes]]</f>
        <v>0.5</v>
      </c>
      <c r="BI2" s="34">
        <f>1/Table6[[#This Row],[n_classes]]</f>
        <v>0.5</v>
      </c>
      <c r="BJ2" s="34">
        <f>1/Table6[[#This Row],[n_classes]]</f>
        <v>0.5</v>
      </c>
      <c r="BK2" s="38">
        <v>1</v>
      </c>
    </row>
    <row r="3" spans="1:63" x14ac:dyDescent="0.2">
      <c r="A3" s="8" t="s">
        <v>11</v>
      </c>
      <c r="B3" s="8" t="s">
        <v>33</v>
      </c>
      <c r="C3" s="12" t="s">
        <v>20</v>
      </c>
      <c r="D3" s="12" t="s">
        <v>41</v>
      </c>
      <c r="E3" s="12">
        <v>1618</v>
      </c>
      <c r="F3" s="12">
        <v>206</v>
      </c>
      <c r="G3" s="12">
        <v>2</v>
      </c>
      <c r="H3" s="12" t="s">
        <v>13</v>
      </c>
      <c r="I3" s="12" t="s">
        <v>14</v>
      </c>
      <c r="J3" s="15">
        <v>0.66015365210411603</v>
      </c>
      <c r="K3" s="18">
        <v>0.105292336531909</v>
      </c>
      <c r="L3" s="15">
        <v>0.52727467775039505</v>
      </c>
      <c r="M3" s="15">
        <v>0.52276208318990802</v>
      </c>
      <c r="N3" s="16">
        <f>1/Table6[[#This Row],[n_classes]]</f>
        <v>0.5</v>
      </c>
      <c r="O3" s="27">
        <v>0</v>
      </c>
      <c r="Q3" s="35" t="s">
        <v>21</v>
      </c>
      <c r="R3" s="23" t="s">
        <v>42</v>
      </c>
      <c r="S3" s="23" t="s">
        <v>17</v>
      </c>
      <c r="T3" s="23" t="s">
        <v>51</v>
      </c>
      <c r="U3" s="23">
        <v>1618</v>
      </c>
      <c r="V3" s="23">
        <v>206</v>
      </c>
      <c r="W3" s="23">
        <v>4</v>
      </c>
      <c r="X3" s="23" t="s">
        <v>22</v>
      </c>
      <c r="Y3" s="23" t="s">
        <v>23</v>
      </c>
      <c r="Z3" s="21">
        <v>0.39237799642138199</v>
      </c>
      <c r="AA3" s="36">
        <v>6.6417622743339996E-2</v>
      </c>
      <c r="AB3" s="21">
        <v>0.34600743784042298</v>
      </c>
      <c r="AC3" s="21">
        <v>0.33821618650250601</v>
      </c>
      <c r="AD3" s="21">
        <v>0.25</v>
      </c>
      <c r="AE3" s="38">
        <v>0</v>
      </c>
      <c r="AG3" s="35" t="s">
        <v>24</v>
      </c>
      <c r="AH3" s="23" t="s">
        <v>43</v>
      </c>
      <c r="AI3" s="23" t="s">
        <v>17</v>
      </c>
      <c r="AJ3" s="23" t="s">
        <v>38</v>
      </c>
      <c r="AK3" s="23">
        <v>1618</v>
      </c>
      <c r="AL3" s="23">
        <v>206</v>
      </c>
      <c r="AM3" s="23">
        <v>3</v>
      </c>
      <c r="AN3" s="23" t="s">
        <v>25</v>
      </c>
      <c r="AO3" s="23" t="s">
        <v>26</v>
      </c>
      <c r="AP3" s="21">
        <v>0.474024385582693</v>
      </c>
      <c r="AQ3" s="36">
        <v>6.3241906967112002E-2</v>
      </c>
      <c r="AR3" s="21">
        <v>0.48518171056732601</v>
      </c>
      <c r="AS3" s="21">
        <v>0.466964140097199</v>
      </c>
      <c r="AT3" s="21">
        <v>0.33333333333333331</v>
      </c>
      <c r="AU3" s="38">
        <v>0</v>
      </c>
      <c r="AW3" s="35" t="s">
        <v>27</v>
      </c>
      <c r="AX3" s="23" t="s">
        <v>44</v>
      </c>
      <c r="AY3" s="23" t="s">
        <v>19</v>
      </c>
      <c r="AZ3" s="23" t="s">
        <v>40</v>
      </c>
      <c r="BA3" s="23">
        <v>1618</v>
      </c>
      <c r="BB3" s="23">
        <v>206</v>
      </c>
      <c r="BC3" s="23">
        <v>2</v>
      </c>
      <c r="BD3" s="23" t="s">
        <v>28</v>
      </c>
      <c r="BE3" s="23" t="s">
        <v>29</v>
      </c>
      <c r="BF3" s="21">
        <v>0.800418529985093</v>
      </c>
      <c r="BG3" s="23">
        <v>5.6845936994475599E-2</v>
      </c>
      <c r="BH3" s="21">
        <v>0.72445507070771498</v>
      </c>
      <c r="BI3" s="21">
        <v>0.74077977016764596</v>
      </c>
      <c r="BJ3" s="21">
        <v>0.5</v>
      </c>
      <c r="BK3" s="38">
        <v>0</v>
      </c>
    </row>
    <row r="4" spans="1:63" x14ac:dyDescent="0.2">
      <c r="A4" s="8" t="s">
        <v>11</v>
      </c>
      <c r="B4" s="8" t="s">
        <v>33</v>
      </c>
      <c r="C4" s="12" t="s">
        <v>19</v>
      </c>
      <c r="D4" s="12" t="s">
        <v>40</v>
      </c>
      <c r="E4" s="12">
        <v>1618</v>
      </c>
      <c r="F4" s="12">
        <v>206</v>
      </c>
      <c r="G4" s="12">
        <v>2</v>
      </c>
      <c r="H4" s="12" t="s">
        <v>13</v>
      </c>
      <c r="I4" s="12" t="s">
        <v>14</v>
      </c>
      <c r="J4" s="15">
        <v>0.61997477353514496</v>
      </c>
      <c r="K4" s="14">
        <v>9.9890237040341098E-2</v>
      </c>
      <c r="L4" s="15">
        <v>0.56095113331150204</v>
      </c>
      <c r="M4" s="15">
        <v>0.55796863691364196</v>
      </c>
      <c r="N4" s="16">
        <f>1/Table6[[#This Row],[n_classes]]</f>
        <v>0.5</v>
      </c>
      <c r="O4" s="27">
        <v>0</v>
      </c>
      <c r="Q4" s="35" t="s">
        <v>21</v>
      </c>
      <c r="R4" s="23" t="s">
        <v>42</v>
      </c>
      <c r="S4" s="23" t="s">
        <v>19</v>
      </c>
      <c r="T4" s="23" t="s">
        <v>40</v>
      </c>
      <c r="U4" s="23">
        <v>1618</v>
      </c>
      <c r="V4" s="23">
        <v>206</v>
      </c>
      <c r="W4" s="23">
        <v>4</v>
      </c>
      <c r="X4" s="23" t="s">
        <v>22</v>
      </c>
      <c r="Y4" s="23" t="s">
        <v>23</v>
      </c>
      <c r="Z4" s="21">
        <v>0.43883992314137099</v>
      </c>
      <c r="AA4" s="36">
        <v>5.3995505574256399E-2</v>
      </c>
      <c r="AB4" s="21">
        <v>0.40138932958574802</v>
      </c>
      <c r="AC4" s="21">
        <v>0.39808607188970002</v>
      </c>
      <c r="AD4" s="21">
        <v>0.25</v>
      </c>
      <c r="AE4" s="38">
        <v>0</v>
      </c>
      <c r="AG4" s="35" t="s">
        <v>24</v>
      </c>
      <c r="AH4" s="23" t="s">
        <v>43</v>
      </c>
      <c r="AI4" s="23" t="s">
        <v>19</v>
      </c>
      <c r="AJ4" s="23" t="s">
        <v>40</v>
      </c>
      <c r="AK4" s="23">
        <v>1618</v>
      </c>
      <c r="AL4" s="23">
        <v>206</v>
      </c>
      <c r="AM4" s="23">
        <v>3</v>
      </c>
      <c r="AN4" s="23" t="s">
        <v>25</v>
      </c>
      <c r="AO4" s="23" t="s">
        <v>26</v>
      </c>
      <c r="AP4" s="21">
        <v>0.49633451821274299</v>
      </c>
      <c r="AQ4" s="36">
        <v>5.1446687823887498E-2</v>
      </c>
      <c r="AR4" s="21">
        <v>0.49899361049026902</v>
      </c>
      <c r="AS4" s="21">
        <v>0.50464118373071598</v>
      </c>
      <c r="AT4" s="21">
        <v>0.33333333333333331</v>
      </c>
      <c r="AU4" s="38">
        <v>0</v>
      </c>
      <c r="AW4" s="35" t="s">
        <v>27</v>
      </c>
      <c r="AX4" s="23" t="s">
        <v>44</v>
      </c>
      <c r="AY4" s="23" t="s">
        <v>16</v>
      </c>
      <c r="AZ4" s="23" t="s">
        <v>36</v>
      </c>
      <c r="BA4" s="23">
        <v>1618</v>
      </c>
      <c r="BB4" s="23">
        <v>206</v>
      </c>
      <c r="BC4" s="23">
        <v>2</v>
      </c>
      <c r="BD4" s="23" t="s">
        <v>28</v>
      </c>
      <c r="BE4" s="23" t="s">
        <v>29</v>
      </c>
      <c r="BF4" s="21">
        <v>0.786813438825822</v>
      </c>
      <c r="BG4" s="36">
        <v>5.4080047031732997E-2</v>
      </c>
      <c r="BH4" s="21">
        <v>0.73758878814847895</v>
      </c>
      <c r="BI4" s="21">
        <v>0.74512754244860402</v>
      </c>
      <c r="BJ4" s="21">
        <v>0.5</v>
      </c>
      <c r="BK4" s="38">
        <v>0</v>
      </c>
    </row>
    <row r="5" spans="1:63" x14ac:dyDescent="0.2">
      <c r="A5" s="8" t="s">
        <v>11</v>
      </c>
      <c r="B5" s="8" t="s">
        <v>33</v>
      </c>
      <c r="C5" s="12" t="s">
        <v>18</v>
      </c>
      <c r="D5" s="12" t="s">
        <v>39</v>
      </c>
      <c r="E5" s="12">
        <v>1618</v>
      </c>
      <c r="F5" s="12">
        <v>206</v>
      </c>
      <c r="G5" s="12">
        <v>2</v>
      </c>
      <c r="H5" s="12" t="s">
        <v>13</v>
      </c>
      <c r="I5" s="12" t="s">
        <v>14</v>
      </c>
      <c r="J5" s="15">
        <v>0.67317203684592697</v>
      </c>
      <c r="K5" s="18">
        <v>0.13743133133362201</v>
      </c>
      <c r="L5" s="15">
        <v>0.59407242140559602</v>
      </c>
      <c r="M5" s="15">
        <v>0.60234304846693698</v>
      </c>
      <c r="N5" s="16">
        <f>1/Table6[[#This Row],[n_classes]]</f>
        <v>0.5</v>
      </c>
      <c r="O5" s="27">
        <v>0</v>
      </c>
      <c r="Q5" s="35" t="s">
        <v>21</v>
      </c>
      <c r="R5" s="23" t="s">
        <v>42</v>
      </c>
      <c r="S5" s="23" t="s">
        <v>20</v>
      </c>
      <c r="T5" s="23" t="s">
        <v>41</v>
      </c>
      <c r="U5" s="23">
        <v>1618</v>
      </c>
      <c r="V5" s="23">
        <v>206</v>
      </c>
      <c r="W5" s="23">
        <v>4</v>
      </c>
      <c r="X5" s="23" t="s">
        <v>22</v>
      </c>
      <c r="Y5" s="23" t="s">
        <v>23</v>
      </c>
      <c r="Z5" s="21">
        <v>0.52356447763176395</v>
      </c>
      <c r="AA5" s="23">
        <v>3.6909423797048299E-2</v>
      </c>
      <c r="AB5" s="21">
        <v>0.42738905927207199</v>
      </c>
      <c r="AC5" s="21">
        <v>0.377369354154938</v>
      </c>
      <c r="AD5" s="21">
        <v>0.25</v>
      </c>
      <c r="AE5" s="38">
        <v>0</v>
      </c>
      <c r="AG5" s="35" t="s">
        <v>24</v>
      </c>
      <c r="AH5" s="23" t="s">
        <v>43</v>
      </c>
      <c r="AI5" s="23" t="s">
        <v>18</v>
      </c>
      <c r="AJ5" s="23" t="s">
        <v>39</v>
      </c>
      <c r="AK5" s="23">
        <v>1618</v>
      </c>
      <c r="AL5" s="23">
        <v>206</v>
      </c>
      <c r="AM5" s="23">
        <v>3</v>
      </c>
      <c r="AN5" s="23" t="s">
        <v>25</v>
      </c>
      <c r="AO5" s="23" t="s">
        <v>26</v>
      </c>
      <c r="AP5" s="21">
        <v>0.55253984634789499</v>
      </c>
      <c r="AQ5" s="23">
        <v>3.7416395426691201E-2</v>
      </c>
      <c r="AR5" s="21">
        <v>0.55403442293585503</v>
      </c>
      <c r="AS5" s="21">
        <v>0.55822580977011804</v>
      </c>
      <c r="AT5" s="21">
        <v>0.33333333333333331</v>
      </c>
      <c r="AU5" s="38">
        <v>0</v>
      </c>
      <c r="AW5" s="35" t="s">
        <v>27</v>
      </c>
      <c r="AX5" s="23" t="s">
        <v>44</v>
      </c>
      <c r="AY5" s="23" t="s">
        <v>17</v>
      </c>
      <c r="AZ5" s="23" t="s">
        <v>38</v>
      </c>
      <c r="BA5" s="23">
        <v>1618</v>
      </c>
      <c r="BB5" s="23">
        <v>206</v>
      </c>
      <c r="BC5" s="23">
        <v>2</v>
      </c>
      <c r="BD5" s="23" t="s">
        <v>28</v>
      </c>
      <c r="BE5" s="23" t="s">
        <v>29</v>
      </c>
      <c r="BF5" s="21">
        <v>0.79237854986048994</v>
      </c>
      <c r="BG5" s="36">
        <v>6.7867442780557799E-2</v>
      </c>
      <c r="BH5" s="21">
        <v>0.74830879405952799</v>
      </c>
      <c r="BI5" s="21">
        <v>0.74993721041939598</v>
      </c>
      <c r="BJ5" s="21">
        <v>0.5</v>
      </c>
      <c r="BK5" s="38">
        <v>0</v>
      </c>
    </row>
    <row r="6" spans="1:63" x14ac:dyDescent="0.2">
      <c r="A6" s="8" t="s">
        <v>11</v>
      </c>
      <c r="B6" s="8" t="s">
        <v>33</v>
      </c>
      <c r="C6" s="12" t="s">
        <v>17</v>
      </c>
      <c r="D6" s="12" t="s">
        <v>38</v>
      </c>
      <c r="E6" s="12">
        <v>1618</v>
      </c>
      <c r="F6" s="12">
        <v>206</v>
      </c>
      <c r="G6" s="12">
        <v>2</v>
      </c>
      <c r="H6" s="12" t="s">
        <v>13</v>
      </c>
      <c r="I6" s="12" t="s">
        <v>14</v>
      </c>
      <c r="J6" s="15">
        <v>0.55391010205251601</v>
      </c>
      <c r="K6" s="18">
        <v>0.120158331311592</v>
      </c>
      <c r="L6" s="13">
        <v>0.63461141862729398</v>
      </c>
      <c r="M6" s="15">
        <v>0.55137596337485495</v>
      </c>
      <c r="N6" s="16">
        <f>1/Table6[[#This Row],[n_classes]]</f>
        <v>0.5</v>
      </c>
      <c r="O6" s="27">
        <v>0</v>
      </c>
      <c r="Q6" s="35" t="s">
        <v>21</v>
      </c>
      <c r="R6" s="23" t="s">
        <v>42</v>
      </c>
      <c r="S6" s="23" t="s">
        <v>18</v>
      </c>
      <c r="T6" s="23" t="s">
        <v>50</v>
      </c>
      <c r="U6" s="23">
        <v>1618</v>
      </c>
      <c r="V6" s="23">
        <v>206</v>
      </c>
      <c r="W6" s="23">
        <v>4</v>
      </c>
      <c r="X6" s="23" t="s">
        <v>22</v>
      </c>
      <c r="Y6" s="23" t="s">
        <v>23</v>
      </c>
      <c r="Z6" s="21">
        <v>0.51805798534978298</v>
      </c>
      <c r="AA6" s="36">
        <v>5.2789359447513201E-2</v>
      </c>
      <c r="AB6" s="21">
        <v>0.43275156795208303</v>
      </c>
      <c r="AC6" s="21">
        <v>0.40462465246836699</v>
      </c>
      <c r="AD6" s="21">
        <v>0.25</v>
      </c>
      <c r="AE6" s="38">
        <v>0</v>
      </c>
      <c r="AG6" s="35" t="s">
        <v>24</v>
      </c>
      <c r="AH6" s="23" t="s">
        <v>43</v>
      </c>
      <c r="AI6" s="23" t="s">
        <v>20</v>
      </c>
      <c r="AJ6" s="23" t="s">
        <v>41</v>
      </c>
      <c r="AK6" s="23">
        <v>1618</v>
      </c>
      <c r="AL6" s="23">
        <v>206</v>
      </c>
      <c r="AM6" s="23">
        <v>3</v>
      </c>
      <c r="AN6" s="23" t="s">
        <v>25</v>
      </c>
      <c r="AO6" s="23" t="s">
        <v>26</v>
      </c>
      <c r="AP6" s="21">
        <v>0.56614302641134395</v>
      </c>
      <c r="AQ6" s="36">
        <v>4.9036621745931902E-2</v>
      </c>
      <c r="AR6" s="21">
        <v>0.56339272499384196</v>
      </c>
      <c r="AS6" s="21">
        <v>0.56559590141132698</v>
      </c>
      <c r="AT6" s="21">
        <v>0.33333333333333331</v>
      </c>
      <c r="AU6" s="38">
        <v>0</v>
      </c>
      <c r="AW6" s="35" t="s">
        <v>27</v>
      </c>
      <c r="AX6" s="23" t="s">
        <v>44</v>
      </c>
      <c r="AY6" s="23" t="s">
        <v>12</v>
      </c>
      <c r="AZ6" s="23" t="s">
        <v>37</v>
      </c>
      <c r="BA6" s="23">
        <v>1618</v>
      </c>
      <c r="BB6" s="23">
        <v>206</v>
      </c>
      <c r="BC6" s="23">
        <v>2</v>
      </c>
      <c r="BD6" s="23" t="s">
        <v>28</v>
      </c>
      <c r="BE6" s="23" t="s">
        <v>29</v>
      </c>
      <c r="BF6" s="21">
        <v>0.80040706341015899</v>
      </c>
      <c r="BG6" s="36">
        <v>5.6035353903200698E-2</v>
      </c>
      <c r="BH6" s="21">
        <v>0.75555353129440495</v>
      </c>
      <c r="BI6" s="21">
        <v>0.76284113302622103</v>
      </c>
      <c r="BJ6" s="21">
        <v>0.5</v>
      </c>
      <c r="BK6" s="38">
        <v>0</v>
      </c>
    </row>
    <row r="7" spans="1:63" x14ac:dyDescent="0.2">
      <c r="A7" s="8" t="s">
        <v>11</v>
      </c>
      <c r="B7" s="8" t="s">
        <v>33</v>
      </c>
      <c r="C7" s="12" t="s">
        <v>16</v>
      </c>
      <c r="D7" s="12" t="s">
        <v>36</v>
      </c>
      <c r="E7" s="12">
        <v>1618</v>
      </c>
      <c r="F7" s="12">
        <v>206</v>
      </c>
      <c r="G7" s="12">
        <v>2</v>
      </c>
      <c r="H7" s="12" t="s">
        <v>13</v>
      </c>
      <c r="I7" s="12" t="s">
        <v>14</v>
      </c>
      <c r="J7" s="15">
        <v>0.702774911134044</v>
      </c>
      <c r="K7" s="14">
        <v>6.0560773455026001E-2</v>
      </c>
      <c r="L7" s="15">
        <v>0.66079154974212795</v>
      </c>
      <c r="M7" s="15">
        <v>0.65547093403319201</v>
      </c>
      <c r="N7" s="16">
        <f>1/Table6[[#This Row],[n_classes]]</f>
        <v>0.5</v>
      </c>
      <c r="O7" s="27">
        <v>0</v>
      </c>
      <c r="Q7" s="35" t="s">
        <v>21</v>
      </c>
      <c r="R7" s="23" t="s">
        <v>42</v>
      </c>
      <c r="S7" s="23" t="s">
        <v>16</v>
      </c>
      <c r="T7" s="23" t="s">
        <v>36</v>
      </c>
      <c r="U7" s="23">
        <v>1618</v>
      </c>
      <c r="V7" s="23">
        <v>206</v>
      </c>
      <c r="W7" s="23">
        <v>4</v>
      </c>
      <c r="X7" s="23" t="s">
        <v>22</v>
      </c>
      <c r="Y7" s="23" t="s">
        <v>23</v>
      </c>
      <c r="Z7" s="21">
        <v>0.48875457036082598</v>
      </c>
      <c r="AA7" s="36">
        <v>6.1628216396525597E-2</v>
      </c>
      <c r="AB7" s="21">
        <v>0.44647137940092102</v>
      </c>
      <c r="AC7" s="21">
        <v>0.44383701982738799</v>
      </c>
      <c r="AD7" s="21">
        <v>0.25</v>
      </c>
      <c r="AE7" s="38">
        <v>0</v>
      </c>
      <c r="AG7" s="35" t="s">
        <v>24</v>
      </c>
      <c r="AH7" s="23" t="s">
        <v>43</v>
      </c>
      <c r="AI7" s="23" t="s">
        <v>16</v>
      </c>
      <c r="AJ7" s="23" t="s">
        <v>36</v>
      </c>
      <c r="AK7" s="23">
        <v>1618</v>
      </c>
      <c r="AL7" s="23">
        <v>206</v>
      </c>
      <c r="AM7" s="23">
        <v>3</v>
      </c>
      <c r="AN7" s="23" t="s">
        <v>25</v>
      </c>
      <c r="AO7" s="23" t="s">
        <v>26</v>
      </c>
      <c r="AP7" s="21">
        <v>0.56370064595038705</v>
      </c>
      <c r="AQ7" s="36">
        <v>7.0711539899786693E-2</v>
      </c>
      <c r="AR7" s="21">
        <v>0.56600412465205296</v>
      </c>
      <c r="AS7" s="21">
        <v>0.56274194457495597</v>
      </c>
      <c r="AT7" s="21">
        <v>0.33333333333333331</v>
      </c>
      <c r="AU7" s="38">
        <v>0</v>
      </c>
      <c r="AW7" s="35" t="s">
        <v>27</v>
      </c>
      <c r="AX7" s="23" t="s">
        <v>44</v>
      </c>
      <c r="AY7" s="23" t="s">
        <v>15</v>
      </c>
      <c r="AZ7" s="23" t="s">
        <v>35</v>
      </c>
      <c r="BA7" s="23">
        <v>1618</v>
      </c>
      <c r="BB7" s="23">
        <v>206</v>
      </c>
      <c r="BC7" s="23">
        <v>2</v>
      </c>
      <c r="BD7" s="23" t="s">
        <v>28</v>
      </c>
      <c r="BE7" s="23" t="s">
        <v>29</v>
      </c>
      <c r="BF7" s="21">
        <v>0.81091617933723104</v>
      </c>
      <c r="BG7" s="36">
        <v>5.7729096292023503E-2</v>
      </c>
      <c r="BH7" s="21">
        <v>0.76027707711460102</v>
      </c>
      <c r="BI7" s="21">
        <v>0.77041460741390499</v>
      </c>
      <c r="BJ7" s="21">
        <v>0.5</v>
      </c>
      <c r="BK7" s="38">
        <v>0</v>
      </c>
    </row>
    <row r="8" spans="1:63" x14ac:dyDescent="0.2">
      <c r="A8" s="19" t="s">
        <v>11</v>
      </c>
      <c r="B8" s="19" t="s">
        <v>33</v>
      </c>
      <c r="C8" s="17" t="s">
        <v>15</v>
      </c>
      <c r="D8" s="17" t="s">
        <v>35</v>
      </c>
      <c r="E8" s="17">
        <v>1618</v>
      </c>
      <c r="F8" s="17">
        <v>206</v>
      </c>
      <c r="G8" s="17">
        <v>2</v>
      </c>
      <c r="H8" s="17" t="s">
        <v>13</v>
      </c>
      <c r="I8" s="17" t="s">
        <v>14</v>
      </c>
      <c r="J8" s="20">
        <v>0.71329549363605005</v>
      </c>
      <c r="K8" s="24">
        <v>7.7252774275626504E-2</v>
      </c>
      <c r="L8" s="20">
        <v>0.66886235312724296</v>
      </c>
      <c r="M8" s="20">
        <v>0.66418586317788497</v>
      </c>
      <c r="N8" s="21">
        <f>1/Table6[[#This Row],[n_classes]]</f>
        <v>0.5</v>
      </c>
      <c r="O8" s="27">
        <v>0</v>
      </c>
      <c r="Q8" s="37" t="s">
        <v>21</v>
      </c>
      <c r="R8" s="22" t="s">
        <v>42</v>
      </c>
      <c r="S8" s="22" t="s">
        <v>12</v>
      </c>
      <c r="T8" s="22" t="s">
        <v>37</v>
      </c>
      <c r="U8" s="22">
        <v>1618</v>
      </c>
      <c r="V8" s="22">
        <v>206</v>
      </c>
      <c r="W8" s="22">
        <v>4</v>
      </c>
      <c r="X8" s="22" t="s">
        <v>22</v>
      </c>
      <c r="Y8" s="22" t="s">
        <v>23</v>
      </c>
      <c r="Z8" s="16">
        <v>0.51013041423493199</v>
      </c>
      <c r="AA8" s="38">
        <v>6.8048614536495702E-2</v>
      </c>
      <c r="AB8" s="16">
        <v>0.46321433535467899</v>
      </c>
      <c r="AC8" s="16">
        <v>0.45836713923492201</v>
      </c>
      <c r="AD8" s="16">
        <v>0.25</v>
      </c>
      <c r="AE8" s="38">
        <v>0</v>
      </c>
      <c r="AG8" s="37" t="s">
        <v>24</v>
      </c>
      <c r="AH8" s="23" t="s">
        <v>43</v>
      </c>
      <c r="AI8" s="22" t="s">
        <v>12</v>
      </c>
      <c r="AJ8" s="22" t="s">
        <v>37</v>
      </c>
      <c r="AK8" s="22">
        <v>1618</v>
      </c>
      <c r="AL8" s="22">
        <v>206</v>
      </c>
      <c r="AM8" s="22">
        <v>3</v>
      </c>
      <c r="AN8" s="22" t="s">
        <v>25</v>
      </c>
      <c r="AO8" s="22" t="s">
        <v>26</v>
      </c>
      <c r="AP8" s="16">
        <v>0.59459924320605395</v>
      </c>
      <c r="AQ8" s="22">
        <v>5.91861628504139E-2</v>
      </c>
      <c r="AR8" s="16">
        <v>0.59603293290926296</v>
      </c>
      <c r="AS8" s="16">
        <v>0.596155207737191</v>
      </c>
      <c r="AT8" s="16">
        <v>0.33333333333333331</v>
      </c>
      <c r="AU8" s="38">
        <v>0</v>
      </c>
      <c r="AW8" s="35" t="s">
        <v>27</v>
      </c>
      <c r="AX8" s="22" t="s">
        <v>44</v>
      </c>
      <c r="AY8" s="23" t="s">
        <v>18</v>
      </c>
      <c r="AZ8" s="22" t="s">
        <v>39</v>
      </c>
      <c r="BA8" s="23">
        <v>1618</v>
      </c>
      <c r="BB8" s="23">
        <v>206</v>
      </c>
      <c r="BC8" s="23">
        <v>2</v>
      </c>
      <c r="BD8" s="23" t="s">
        <v>28</v>
      </c>
      <c r="BE8" s="23" t="s">
        <v>29</v>
      </c>
      <c r="BF8" s="21">
        <v>0.833780529755761</v>
      </c>
      <c r="BG8" s="36">
        <v>7.1516343117552006E-2</v>
      </c>
      <c r="BH8" s="21">
        <v>0.76782466220649703</v>
      </c>
      <c r="BI8" s="21">
        <v>0.78577062889945104</v>
      </c>
      <c r="BJ8" s="21">
        <v>0.5</v>
      </c>
      <c r="BK8" s="38">
        <v>0</v>
      </c>
    </row>
    <row r="9" spans="1:63" x14ac:dyDescent="0.2">
      <c r="A9" s="19" t="s">
        <v>11</v>
      </c>
      <c r="B9" s="19" t="s">
        <v>33</v>
      </c>
      <c r="C9" s="17" t="s">
        <v>12</v>
      </c>
      <c r="D9" s="17" t="s">
        <v>37</v>
      </c>
      <c r="E9" s="17">
        <v>1618</v>
      </c>
      <c r="F9" s="17">
        <v>206</v>
      </c>
      <c r="G9" s="17">
        <v>2</v>
      </c>
      <c r="H9" s="17" t="s">
        <v>13</v>
      </c>
      <c r="I9" s="17" t="s">
        <v>14</v>
      </c>
      <c r="J9" s="21">
        <v>0.70587470855788703</v>
      </c>
      <c r="K9" s="24">
        <v>8.1253599867057394E-2</v>
      </c>
      <c r="L9" s="28">
        <v>0.68096475492059005</v>
      </c>
      <c r="M9" s="28">
        <v>0.66823070364772896</v>
      </c>
      <c r="N9" s="21">
        <f>1/Table6[[#This Row],[n_classes]]</f>
        <v>0.5</v>
      </c>
      <c r="O9" s="24">
        <v>0</v>
      </c>
      <c r="Q9" s="19" t="s">
        <v>21</v>
      </c>
      <c r="R9" s="17" t="s">
        <v>42</v>
      </c>
      <c r="S9" s="17" t="s">
        <v>15</v>
      </c>
      <c r="T9" s="17" t="s">
        <v>49</v>
      </c>
      <c r="U9" s="17">
        <v>1618</v>
      </c>
      <c r="V9" s="17">
        <v>206</v>
      </c>
      <c r="W9" s="17">
        <v>4</v>
      </c>
      <c r="X9" s="17" t="s">
        <v>22</v>
      </c>
      <c r="Y9" s="17" t="s">
        <v>23</v>
      </c>
      <c r="Z9" s="21">
        <v>0.51545239457842695</v>
      </c>
      <c r="AA9" s="24">
        <v>6.5806883023499005E-2</v>
      </c>
      <c r="AB9" s="21">
        <v>0.46598062321780598</v>
      </c>
      <c r="AC9" s="21">
        <v>0.46040496674883702</v>
      </c>
      <c r="AD9" s="21">
        <v>0.25</v>
      </c>
      <c r="AE9" s="36">
        <v>0</v>
      </c>
      <c r="AG9" s="8" t="s">
        <v>24</v>
      </c>
      <c r="AH9" s="17" t="s">
        <v>43</v>
      </c>
      <c r="AI9" s="12" t="s">
        <v>15</v>
      </c>
      <c r="AJ9" s="12" t="s">
        <v>49</v>
      </c>
      <c r="AK9" s="12">
        <v>1618</v>
      </c>
      <c r="AL9" s="12">
        <v>206</v>
      </c>
      <c r="AM9" s="12">
        <v>3</v>
      </c>
      <c r="AN9" s="22" t="s">
        <v>25</v>
      </c>
      <c r="AO9" s="12" t="s">
        <v>26</v>
      </c>
      <c r="AP9" s="16">
        <v>0.59583190001146602</v>
      </c>
      <c r="AQ9" s="14">
        <v>5.6455840800081501E-2</v>
      </c>
      <c r="AR9" s="16">
        <v>0.59669754106231598</v>
      </c>
      <c r="AS9" s="16">
        <v>0.59716870716770198</v>
      </c>
      <c r="AT9" s="16">
        <v>0.33333333333333331</v>
      </c>
      <c r="AU9" s="38">
        <v>0</v>
      </c>
      <c r="AW9" s="19" t="s">
        <v>27</v>
      </c>
      <c r="AX9" s="12" t="s">
        <v>44</v>
      </c>
      <c r="AY9" s="12" t="s">
        <v>20</v>
      </c>
      <c r="AZ9" s="12" t="s">
        <v>41</v>
      </c>
      <c r="BA9" s="12">
        <v>1618</v>
      </c>
      <c r="BB9" s="12">
        <v>206</v>
      </c>
      <c r="BC9" s="12">
        <v>2</v>
      </c>
      <c r="BD9" s="17" t="s">
        <v>28</v>
      </c>
      <c r="BE9" s="17" t="s">
        <v>29</v>
      </c>
      <c r="BF9" s="13">
        <v>0.84180139892214201</v>
      </c>
      <c r="BG9" s="14">
        <v>8.2613734032347896E-2</v>
      </c>
      <c r="BH9" s="13">
        <v>0.78437523129269904</v>
      </c>
      <c r="BI9" s="13">
        <v>0.79862896778877202</v>
      </c>
      <c r="BJ9" s="13">
        <v>0.5</v>
      </c>
      <c r="BK9" s="38">
        <v>0</v>
      </c>
    </row>
    <row r="17" spans="8:8" x14ac:dyDescent="0.2">
      <c r="H17" t="s">
        <v>45</v>
      </c>
    </row>
  </sheetData>
  <pageMargins left="0.7" right="0.7" top="0.75" bottom="0.75" header="0.3" footer="0.3"/>
  <drawing r:id="rId1"/>
  <tableParts count="4">
    <tablePart r:id="rId2"/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4A7D4-9593-8042-85E1-1DF628154747}">
  <dimension ref="A1:BK17"/>
  <sheetViews>
    <sheetView topLeftCell="AW1" workbookViewId="0">
      <selection activeCell="BH20" sqref="BH20"/>
    </sheetView>
  </sheetViews>
  <sheetFormatPr baseColWidth="10" defaultRowHeight="16" x14ac:dyDescent="0.2"/>
  <cols>
    <col min="1" max="1" width="13.83203125" bestFit="1" customWidth="1"/>
    <col min="2" max="2" width="31.83203125" bestFit="1" customWidth="1"/>
    <col min="3" max="3" width="14.83203125" bestFit="1" customWidth="1"/>
    <col min="4" max="4" width="26.1640625" bestFit="1" customWidth="1"/>
    <col min="5" max="5" width="12.6640625" bestFit="1" customWidth="1"/>
    <col min="6" max="6" width="13.1640625" bestFit="1" customWidth="1"/>
    <col min="7" max="7" width="12" bestFit="1" customWidth="1"/>
    <col min="8" max="8" width="23.5" bestFit="1" customWidth="1"/>
    <col min="9" max="9" width="15" bestFit="1" customWidth="1"/>
    <col min="10" max="10" width="16.6640625" bestFit="1" customWidth="1"/>
    <col min="11" max="11" width="14.6640625" bestFit="1" customWidth="1"/>
    <col min="12" max="12" width="25.33203125" bestFit="1" customWidth="1"/>
    <col min="13" max="13" width="17" bestFit="1" customWidth="1"/>
    <col min="14" max="14" width="10.6640625" bestFit="1" customWidth="1"/>
    <col min="15" max="15" width="14.6640625" bestFit="1" customWidth="1"/>
    <col min="17" max="17" width="13.83203125" bestFit="1" customWidth="1"/>
    <col min="18" max="18" width="35.33203125" bestFit="1" customWidth="1"/>
    <col min="19" max="19" width="14.83203125" bestFit="1" customWidth="1"/>
    <col min="20" max="20" width="26.1640625" bestFit="1" customWidth="1"/>
    <col min="21" max="21" width="12.6640625" bestFit="1" customWidth="1"/>
    <col min="22" max="22" width="13.1640625" bestFit="1" customWidth="1"/>
    <col min="23" max="23" width="12" bestFit="1" customWidth="1"/>
    <col min="24" max="24" width="49.83203125" bestFit="1" customWidth="1"/>
    <col min="25" max="25" width="34" bestFit="1" customWidth="1"/>
    <col min="26" max="26" width="16.6640625" bestFit="1" customWidth="1"/>
    <col min="27" max="27" width="14.6640625" bestFit="1" customWidth="1"/>
    <col min="28" max="28" width="25.33203125" bestFit="1" customWidth="1"/>
    <col min="29" max="29" width="17" bestFit="1" customWidth="1"/>
    <col min="30" max="30" width="10.6640625" bestFit="1" customWidth="1"/>
    <col min="31" max="31" width="14.5" customWidth="1"/>
    <col min="32" max="33" width="17" bestFit="1" customWidth="1"/>
    <col min="34" max="34" width="43.83203125" bestFit="1" customWidth="1"/>
    <col min="35" max="35" width="14.83203125" bestFit="1" customWidth="1"/>
    <col min="36" max="36" width="26.1640625" bestFit="1" customWidth="1"/>
    <col min="37" max="37" width="12.6640625" bestFit="1" customWidth="1"/>
    <col min="38" max="38" width="13.1640625" bestFit="1" customWidth="1"/>
    <col min="39" max="39" width="12" bestFit="1" customWidth="1"/>
    <col min="40" max="40" width="33" bestFit="1" customWidth="1"/>
    <col min="41" max="41" width="21" bestFit="1" customWidth="1"/>
    <col min="42" max="42" width="16.6640625" bestFit="1" customWidth="1"/>
    <col min="43" max="43" width="14.6640625" bestFit="1" customWidth="1"/>
    <col min="44" max="44" width="25.33203125" bestFit="1" customWidth="1"/>
    <col min="45" max="45" width="17" bestFit="1" customWidth="1"/>
    <col min="46" max="46" width="10.6640625" bestFit="1" customWidth="1"/>
    <col min="47" max="47" width="14.5" customWidth="1"/>
    <col min="48" max="48" width="30" bestFit="1" customWidth="1"/>
    <col min="49" max="49" width="12.83203125" bestFit="1" customWidth="1"/>
    <col min="50" max="50" width="30" bestFit="1" customWidth="1"/>
    <col min="51" max="51" width="14.83203125" bestFit="1" customWidth="1"/>
    <col min="52" max="52" width="26.1640625" bestFit="1" customWidth="1"/>
    <col min="53" max="53" width="12.6640625" bestFit="1" customWidth="1"/>
    <col min="54" max="54" width="13.1640625" bestFit="1" customWidth="1"/>
    <col min="55" max="55" width="12" bestFit="1" customWidth="1"/>
    <col min="56" max="56" width="21.83203125" bestFit="1" customWidth="1"/>
    <col min="57" max="57" width="15" bestFit="1" customWidth="1"/>
    <col min="58" max="58" width="16.6640625" bestFit="1" customWidth="1"/>
    <col min="59" max="59" width="14.6640625" bestFit="1" customWidth="1"/>
    <col min="60" max="60" width="25.33203125" bestFit="1" customWidth="1"/>
    <col min="61" max="61" width="17" bestFit="1" customWidth="1"/>
    <col min="62" max="62" width="10.6640625" bestFit="1" customWidth="1"/>
    <col min="63" max="63" width="14.5" customWidth="1"/>
  </cols>
  <sheetData>
    <row r="1" spans="1:63" ht="17" thickBot="1" x14ac:dyDescent="0.25">
      <c r="A1" s="9" t="s">
        <v>0</v>
      </c>
      <c r="B1" s="9" t="s">
        <v>32</v>
      </c>
      <c r="C1" s="10" t="s">
        <v>1</v>
      </c>
      <c r="D1" s="10" t="s">
        <v>31</v>
      </c>
      <c r="E1" s="10" t="s">
        <v>2</v>
      </c>
      <c r="F1" s="10" t="s">
        <v>3</v>
      </c>
      <c r="G1" s="10" t="s">
        <v>4</v>
      </c>
      <c r="H1" s="10" t="s">
        <v>5</v>
      </c>
      <c r="I1" s="10" t="s">
        <v>6</v>
      </c>
      <c r="J1" s="10" t="s">
        <v>7</v>
      </c>
      <c r="K1" s="10" t="s">
        <v>8</v>
      </c>
      <c r="L1" s="10" t="s">
        <v>9</v>
      </c>
      <c r="M1" s="10" t="s">
        <v>10</v>
      </c>
      <c r="N1" s="11" t="s">
        <v>30</v>
      </c>
      <c r="O1" s="10" t="s">
        <v>48</v>
      </c>
      <c r="Q1" s="26" t="s">
        <v>0</v>
      </c>
      <c r="R1" s="31" t="s">
        <v>32</v>
      </c>
      <c r="S1" s="31" t="s">
        <v>1</v>
      </c>
      <c r="T1" s="31" t="s">
        <v>31</v>
      </c>
      <c r="U1" s="31" t="s">
        <v>2</v>
      </c>
      <c r="V1" s="31" t="s">
        <v>3</v>
      </c>
      <c r="W1" s="31" t="s">
        <v>4</v>
      </c>
      <c r="X1" s="31" t="s">
        <v>5</v>
      </c>
      <c r="Y1" s="31" t="s">
        <v>6</v>
      </c>
      <c r="Z1" s="31" t="s">
        <v>7</v>
      </c>
      <c r="AA1" s="31" t="s">
        <v>8</v>
      </c>
      <c r="AB1" s="31" t="s">
        <v>9</v>
      </c>
      <c r="AC1" s="31" t="s">
        <v>10</v>
      </c>
      <c r="AD1" s="31" t="s">
        <v>30</v>
      </c>
      <c r="AE1" s="11" t="s">
        <v>48</v>
      </c>
      <c r="AG1" s="29" t="s">
        <v>0</v>
      </c>
      <c r="AH1" s="30" t="s">
        <v>32</v>
      </c>
      <c r="AI1" s="30" t="s">
        <v>1</v>
      </c>
      <c r="AJ1" s="30" t="s">
        <v>31</v>
      </c>
      <c r="AK1" s="30" t="s">
        <v>2</v>
      </c>
      <c r="AL1" s="30" t="s">
        <v>3</v>
      </c>
      <c r="AM1" s="30" t="s">
        <v>4</v>
      </c>
      <c r="AN1" s="30" t="s">
        <v>5</v>
      </c>
      <c r="AO1" s="30" t="s">
        <v>6</v>
      </c>
      <c r="AP1" s="30" t="s">
        <v>7</v>
      </c>
      <c r="AQ1" s="30" t="s">
        <v>8</v>
      </c>
      <c r="AR1" s="30" t="s">
        <v>9</v>
      </c>
      <c r="AS1" s="30" t="s">
        <v>10</v>
      </c>
      <c r="AT1" s="30" t="s">
        <v>30</v>
      </c>
      <c r="AU1" s="3" t="s">
        <v>48</v>
      </c>
      <c r="AW1" s="26" t="s">
        <v>0</v>
      </c>
      <c r="AX1" s="31" t="s">
        <v>32</v>
      </c>
      <c r="AY1" s="31" t="s">
        <v>1</v>
      </c>
      <c r="AZ1" s="31" t="s">
        <v>31</v>
      </c>
      <c r="BA1" s="31" t="s">
        <v>2</v>
      </c>
      <c r="BB1" s="31" t="s">
        <v>3</v>
      </c>
      <c r="BC1" s="31" t="s">
        <v>4</v>
      </c>
      <c r="BD1" s="31" t="s">
        <v>5</v>
      </c>
      <c r="BE1" s="31" t="s">
        <v>6</v>
      </c>
      <c r="BF1" s="31" t="s">
        <v>7</v>
      </c>
      <c r="BG1" s="31" t="s">
        <v>8</v>
      </c>
      <c r="BH1" s="31" t="s">
        <v>9</v>
      </c>
      <c r="BI1" s="31" t="s">
        <v>10</v>
      </c>
      <c r="BJ1" s="31" t="s">
        <v>30</v>
      </c>
      <c r="BK1" s="11" t="s">
        <v>48</v>
      </c>
    </row>
    <row r="2" spans="1:63" ht="17" thickTop="1" x14ac:dyDescent="0.2">
      <c r="A2" s="8" t="s">
        <v>11</v>
      </c>
      <c r="B2" s="8" t="s">
        <v>33</v>
      </c>
      <c r="C2" s="12" t="s">
        <v>46</v>
      </c>
      <c r="D2" s="12" t="s">
        <v>47</v>
      </c>
      <c r="E2" s="12">
        <v>1618</v>
      </c>
      <c r="F2" s="12">
        <v>206</v>
      </c>
      <c r="G2" s="12">
        <v>2</v>
      </c>
      <c r="H2" s="12" t="s">
        <v>13</v>
      </c>
      <c r="I2" s="12" t="s">
        <v>14</v>
      </c>
      <c r="J2" s="13">
        <f>1/Table612[[#This Row],[n_classes]]</f>
        <v>0.5</v>
      </c>
      <c r="K2" s="12">
        <v>0</v>
      </c>
      <c r="L2" s="13">
        <f>1/Table612[[#This Row],[n_classes]]</f>
        <v>0.5</v>
      </c>
      <c r="M2" s="13">
        <f>1/Table612[[#This Row],[n_classes]]</f>
        <v>0.5</v>
      </c>
      <c r="N2" s="16">
        <f>1/Table612[[#This Row],[n_classes]]</f>
        <v>0.5</v>
      </c>
      <c r="O2" s="27">
        <v>1</v>
      </c>
      <c r="Q2" s="32" t="s">
        <v>21</v>
      </c>
      <c r="R2" s="23" t="s">
        <v>42</v>
      </c>
      <c r="S2" s="33" t="s">
        <v>46</v>
      </c>
      <c r="T2" s="33" t="s">
        <v>47</v>
      </c>
      <c r="U2" s="33">
        <v>1618</v>
      </c>
      <c r="V2" s="33">
        <v>206</v>
      </c>
      <c r="W2" s="33">
        <v>4</v>
      </c>
      <c r="X2" s="33" t="s">
        <v>22</v>
      </c>
      <c r="Y2" s="33" t="s">
        <v>23</v>
      </c>
      <c r="Z2" s="34">
        <v>0.25</v>
      </c>
      <c r="AA2" s="33">
        <v>0</v>
      </c>
      <c r="AB2" s="34">
        <v>0.25</v>
      </c>
      <c r="AC2" s="34">
        <v>0.25</v>
      </c>
      <c r="AD2" s="34">
        <v>0.25</v>
      </c>
      <c r="AE2" s="38">
        <v>1</v>
      </c>
      <c r="AG2" s="32" t="s">
        <v>24</v>
      </c>
      <c r="AH2" s="23" t="s">
        <v>43</v>
      </c>
      <c r="AI2" s="33" t="s">
        <v>46</v>
      </c>
      <c r="AJ2" s="33" t="s">
        <v>47</v>
      </c>
      <c r="AK2" s="33">
        <v>1618</v>
      </c>
      <c r="AL2" s="33">
        <v>206</v>
      </c>
      <c r="AM2" s="33">
        <v>3</v>
      </c>
      <c r="AN2" s="33" t="s">
        <v>25</v>
      </c>
      <c r="AO2" s="33" t="s">
        <v>26</v>
      </c>
      <c r="AP2" s="34">
        <v>0.33333333333333331</v>
      </c>
      <c r="AQ2" s="33">
        <v>0</v>
      </c>
      <c r="AR2" s="34">
        <v>0.33333333333333331</v>
      </c>
      <c r="AS2" s="34">
        <v>0.33333333333333331</v>
      </c>
      <c r="AT2" s="34">
        <v>0.33333333333333331</v>
      </c>
      <c r="AU2" s="38">
        <v>1</v>
      </c>
      <c r="AW2" s="32" t="s">
        <v>27</v>
      </c>
      <c r="AX2" s="23" t="s">
        <v>44</v>
      </c>
      <c r="AY2" s="33" t="s">
        <v>46</v>
      </c>
      <c r="AZ2" s="33" t="s">
        <v>47</v>
      </c>
      <c r="BA2" s="33">
        <v>1618</v>
      </c>
      <c r="BB2" s="33">
        <v>206</v>
      </c>
      <c r="BC2" s="33">
        <v>2</v>
      </c>
      <c r="BD2" s="33" t="s">
        <v>28</v>
      </c>
      <c r="BE2" s="33" t="s">
        <v>29</v>
      </c>
      <c r="BF2" s="34">
        <f>1/Table612[[#This Row],[n_classes]]</f>
        <v>0.5</v>
      </c>
      <c r="BG2" s="33">
        <v>0</v>
      </c>
      <c r="BH2" s="34">
        <f>1/Table612[[#This Row],[n_classes]]</f>
        <v>0.5</v>
      </c>
      <c r="BI2" s="34">
        <f>1/Table612[[#This Row],[n_classes]]</f>
        <v>0.5</v>
      </c>
      <c r="BJ2" s="34">
        <f>1/Table612[[#This Row],[n_classes]]</f>
        <v>0.5</v>
      </c>
      <c r="BK2" s="38">
        <v>1</v>
      </c>
    </row>
    <row r="3" spans="1:63" x14ac:dyDescent="0.2">
      <c r="A3" s="8" t="s">
        <v>11</v>
      </c>
      <c r="B3" s="8" t="s">
        <v>33</v>
      </c>
      <c r="C3" s="12" t="s">
        <v>20</v>
      </c>
      <c r="D3" s="12" t="s">
        <v>41</v>
      </c>
      <c r="E3" s="12">
        <v>1618</v>
      </c>
      <c r="F3" s="12">
        <v>206</v>
      </c>
      <c r="G3" s="12">
        <v>2</v>
      </c>
      <c r="H3" s="12" t="s">
        <v>13</v>
      </c>
      <c r="I3" s="12" t="s">
        <v>14</v>
      </c>
      <c r="J3" s="15">
        <v>0.66015365210411603</v>
      </c>
      <c r="K3" s="18">
        <v>0.105292336531909</v>
      </c>
      <c r="L3" s="15">
        <v>0.52727467775039505</v>
      </c>
      <c r="M3" s="15">
        <v>0.52276208318990802</v>
      </c>
      <c r="N3" s="16">
        <f>1/Table612[[#This Row],[n_classes]]</f>
        <v>0.5</v>
      </c>
      <c r="O3" s="27">
        <v>0</v>
      </c>
      <c r="Q3" s="35" t="s">
        <v>21</v>
      </c>
      <c r="R3" s="23" t="s">
        <v>42</v>
      </c>
      <c r="S3" s="23" t="s">
        <v>17</v>
      </c>
      <c r="T3" s="23" t="s">
        <v>51</v>
      </c>
      <c r="U3" s="23">
        <v>1618</v>
      </c>
      <c r="V3" s="23">
        <v>206</v>
      </c>
      <c r="W3" s="23">
        <v>4</v>
      </c>
      <c r="X3" s="23" t="s">
        <v>22</v>
      </c>
      <c r="Y3" s="23" t="s">
        <v>23</v>
      </c>
      <c r="Z3" s="21">
        <v>0.39237799642138199</v>
      </c>
      <c r="AA3" s="36">
        <v>6.6417622743339996E-2</v>
      </c>
      <c r="AB3" s="21">
        <v>0.34600743784042298</v>
      </c>
      <c r="AC3" s="21">
        <v>0.33821618650250601</v>
      </c>
      <c r="AD3" s="21">
        <v>0.25</v>
      </c>
      <c r="AE3" s="38">
        <v>0</v>
      </c>
      <c r="AG3" s="35" t="s">
        <v>24</v>
      </c>
      <c r="AH3" s="23" t="s">
        <v>43</v>
      </c>
      <c r="AI3" s="23" t="s">
        <v>17</v>
      </c>
      <c r="AJ3" s="23" t="s">
        <v>38</v>
      </c>
      <c r="AK3" s="23">
        <v>1618</v>
      </c>
      <c r="AL3" s="23">
        <v>206</v>
      </c>
      <c r="AM3" s="23">
        <v>3</v>
      </c>
      <c r="AN3" s="23" t="s">
        <v>25</v>
      </c>
      <c r="AO3" s="23" t="s">
        <v>26</v>
      </c>
      <c r="AP3" s="21">
        <v>0.474024385582693</v>
      </c>
      <c r="AQ3" s="36">
        <v>6.3241906967112002E-2</v>
      </c>
      <c r="AR3" s="21">
        <v>0.48518171056732601</v>
      </c>
      <c r="AS3" s="21">
        <v>0.466964140097199</v>
      </c>
      <c r="AT3" s="21">
        <v>0.33333333333333331</v>
      </c>
      <c r="AU3" s="38">
        <v>0</v>
      </c>
      <c r="AW3" s="35" t="s">
        <v>27</v>
      </c>
      <c r="AX3" s="23" t="s">
        <v>44</v>
      </c>
      <c r="AY3" s="23" t="s">
        <v>19</v>
      </c>
      <c r="AZ3" s="23" t="s">
        <v>40</v>
      </c>
      <c r="BA3" s="23">
        <v>1618</v>
      </c>
      <c r="BB3" s="23">
        <v>206</v>
      </c>
      <c r="BC3" s="23">
        <v>2</v>
      </c>
      <c r="BD3" s="23" t="s">
        <v>28</v>
      </c>
      <c r="BE3" s="23" t="s">
        <v>29</v>
      </c>
      <c r="BF3" s="21">
        <v>0.800418529985093</v>
      </c>
      <c r="BG3" s="23">
        <v>5.6845936994475599E-2</v>
      </c>
      <c r="BH3" s="21">
        <v>0.72445507070771498</v>
      </c>
      <c r="BI3" s="21">
        <v>0.74077977016764596</v>
      </c>
      <c r="BJ3" s="21">
        <v>0.5</v>
      </c>
      <c r="BK3" s="38">
        <v>0</v>
      </c>
    </row>
    <row r="4" spans="1:63" x14ac:dyDescent="0.2">
      <c r="A4" s="8" t="s">
        <v>11</v>
      </c>
      <c r="B4" s="8" t="s">
        <v>33</v>
      </c>
      <c r="C4" s="12" t="s">
        <v>17</v>
      </c>
      <c r="D4" s="12" t="s">
        <v>38</v>
      </c>
      <c r="E4" s="12">
        <v>1618</v>
      </c>
      <c r="F4" s="12">
        <v>206</v>
      </c>
      <c r="G4" s="12">
        <v>2</v>
      </c>
      <c r="H4" s="12" t="s">
        <v>13</v>
      </c>
      <c r="I4" s="12" t="s">
        <v>14</v>
      </c>
      <c r="J4" s="15">
        <v>0.55391010205251601</v>
      </c>
      <c r="K4" s="18">
        <v>0.120158331311592</v>
      </c>
      <c r="L4" s="13">
        <v>0.63461141862729398</v>
      </c>
      <c r="M4" s="15">
        <v>0.55137596337485495</v>
      </c>
      <c r="N4" s="16">
        <f>1/Table612[[#This Row],[n_classes]]</f>
        <v>0.5</v>
      </c>
      <c r="O4" s="27">
        <v>0</v>
      </c>
      <c r="Q4" s="35" t="s">
        <v>21</v>
      </c>
      <c r="R4" s="23" t="s">
        <v>42</v>
      </c>
      <c r="S4" s="23" t="s">
        <v>20</v>
      </c>
      <c r="T4" s="23" t="s">
        <v>41</v>
      </c>
      <c r="U4" s="23">
        <v>1618</v>
      </c>
      <c r="V4" s="23">
        <v>206</v>
      </c>
      <c r="W4" s="23">
        <v>4</v>
      </c>
      <c r="X4" s="23" t="s">
        <v>22</v>
      </c>
      <c r="Y4" s="23" t="s">
        <v>23</v>
      </c>
      <c r="Z4" s="21">
        <v>0.52356447763176395</v>
      </c>
      <c r="AA4" s="23">
        <v>3.6909423797048299E-2</v>
      </c>
      <c r="AB4" s="21">
        <v>0.42738905927207199</v>
      </c>
      <c r="AC4" s="21">
        <v>0.377369354154938</v>
      </c>
      <c r="AD4" s="21">
        <v>0.25</v>
      </c>
      <c r="AE4" s="38">
        <v>0</v>
      </c>
      <c r="AG4" s="35" t="s">
        <v>24</v>
      </c>
      <c r="AH4" s="23" t="s">
        <v>43</v>
      </c>
      <c r="AI4" s="23" t="s">
        <v>19</v>
      </c>
      <c r="AJ4" s="23" t="s">
        <v>40</v>
      </c>
      <c r="AK4" s="23">
        <v>1618</v>
      </c>
      <c r="AL4" s="23">
        <v>206</v>
      </c>
      <c r="AM4" s="23">
        <v>3</v>
      </c>
      <c r="AN4" s="23" t="s">
        <v>25</v>
      </c>
      <c r="AO4" s="23" t="s">
        <v>26</v>
      </c>
      <c r="AP4" s="21">
        <v>0.49633451821274299</v>
      </c>
      <c r="AQ4" s="36">
        <v>5.1446687823887498E-2</v>
      </c>
      <c r="AR4" s="21">
        <v>0.49899361049026902</v>
      </c>
      <c r="AS4" s="21">
        <v>0.50464118373071598</v>
      </c>
      <c r="AT4" s="21">
        <v>0.33333333333333331</v>
      </c>
      <c r="AU4" s="38">
        <v>0</v>
      </c>
      <c r="AW4" s="35" t="s">
        <v>27</v>
      </c>
      <c r="AX4" s="23" t="s">
        <v>44</v>
      </c>
      <c r="AY4" s="23" t="s">
        <v>16</v>
      </c>
      <c r="AZ4" s="23" t="s">
        <v>36</v>
      </c>
      <c r="BA4" s="23">
        <v>1618</v>
      </c>
      <c r="BB4" s="23">
        <v>206</v>
      </c>
      <c r="BC4" s="23">
        <v>2</v>
      </c>
      <c r="BD4" s="23" t="s">
        <v>28</v>
      </c>
      <c r="BE4" s="23" t="s">
        <v>29</v>
      </c>
      <c r="BF4" s="21">
        <v>0.786813438825822</v>
      </c>
      <c r="BG4" s="36">
        <v>5.4080047031732997E-2</v>
      </c>
      <c r="BH4" s="21">
        <v>0.73758878814847895</v>
      </c>
      <c r="BI4" s="21">
        <v>0.74512754244860402</v>
      </c>
      <c r="BJ4" s="21">
        <v>0.5</v>
      </c>
      <c r="BK4" s="38">
        <v>0</v>
      </c>
    </row>
    <row r="5" spans="1:63" x14ac:dyDescent="0.2">
      <c r="A5" s="8" t="s">
        <v>11</v>
      </c>
      <c r="B5" s="8" t="s">
        <v>33</v>
      </c>
      <c r="C5" s="12" t="s">
        <v>19</v>
      </c>
      <c r="D5" s="12" t="s">
        <v>40</v>
      </c>
      <c r="E5" s="12">
        <v>1618</v>
      </c>
      <c r="F5" s="12">
        <v>206</v>
      </c>
      <c r="G5" s="12">
        <v>2</v>
      </c>
      <c r="H5" s="12" t="s">
        <v>13</v>
      </c>
      <c r="I5" s="12" t="s">
        <v>14</v>
      </c>
      <c r="J5" s="15">
        <v>0.61997477353514496</v>
      </c>
      <c r="K5" s="14">
        <v>9.9890237040341098E-2</v>
      </c>
      <c r="L5" s="15">
        <v>0.56095113331150204</v>
      </c>
      <c r="M5" s="15">
        <v>0.55796863691364196</v>
      </c>
      <c r="N5" s="16">
        <f>1/Table612[[#This Row],[n_classes]]</f>
        <v>0.5</v>
      </c>
      <c r="O5" s="27">
        <v>0</v>
      </c>
      <c r="Q5" s="35" t="s">
        <v>21</v>
      </c>
      <c r="R5" s="23" t="s">
        <v>42</v>
      </c>
      <c r="S5" s="23" t="s">
        <v>19</v>
      </c>
      <c r="T5" s="23" t="s">
        <v>40</v>
      </c>
      <c r="U5" s="23">
        <v>1618</v>
      </c>
      <c r="V5" s="23">
        <v>206</v>
      </c>
      <c r="W5" s="23">
        <v>4</v>
      </c>
      <c r="X5" s="23" t="s">
        <v>22</v>
      </c>
      <c r="Y5" s="23" t="s">
        <v>23</v>
      </c>
      <c r="Z5" s="21">
        <v>0.43883992314137099</v>
      </c>
      <c r="AA5" s="36">
        <v>5.3995505574256399E-2</v>
      </c>
      <c r="AB5" s="21">
        <v>0.40138932958574802</v>
      </c>
      <c r="AC5" s="21">
        <v>0.39808607188970002</v>
      </c>
      <c r="AD5" s="21">
        <v>0.25</v>
      </c>
      <c r="AE5" s="38">
        <v>0</v>
      </c>
      <c r="AG5" s="35" t="s">
        <v>24</v>
      </c>
      <c r="AH5" s="23" t="s">
        <v>43</v>
      </c>
      <c r="AI5" s="23" t="s">
        <v>18</v>
      </c>
      <c r="AJ5" s="23" t="s">
        <v>39</v>
      </c>
      <c r="AK5" s="23">
        <v>1618</v>
      </c>
      <c r="AL5" s="23">
        <v>206</v>
      </c>
      <c r="AM5" s="23">
        <v>3</v>
      </c>
      <c r="AN5" s="23" t="s">
        <v>25</v>
      </c>
      <c r="AO5" s="23" t="s">
        <v>26</v>
      </c>
      <c r="AP5" s="21">
        <v>0.55253984634789499</v>
      </c>
      <c r="AQ5" s="23">
        <v>3.7416395426691201E-2</v>
      </c>
      <c r="AR5" s="21">
        <v>0.55403442293585503</v>
      </c>
      <c r="AS5" s="21">
        <v>0.55822580977011804</v>
      </c>
      <c r="AT5" s="21">
        <v>0.33333333333333331</v>
      </c>
      <c r="AU5" s="38">
        <v>0</v>
      </c>
      <c r="AW5" s="35" t="s">
        <v>27</v>
      </c>
      <c r="AX5" s="23" t="s">
        <v>44</v>
      </c>
      <c r="AY5" s="23" t="s">
        <v>17</v>
      </c>
      <c r="AZ5" s="23" t="s">
        <v>38</v>
      </c>
      <c r="BA5" s="23">
        <v>1618</v>
      </c>
      <c r="BB5" s="23">
        <v>206</v>
      </c>
      <c r="BC5" s="23">
        <v>2</v>
      </c>
      <c r="BD5" s="23" t="s">
        <v>28</v>
      </c>
      <c r="BE5" s="23" t="s">
        <v>29</v>
      </c>
      <c r="BF5" s="21">
        <v>0.79237854986048994</v>
      </c>
      <c r="BG5" s="36">
        <v>6.7867442780557799E-2</v>
      </c>
      <c r="BH5" s="21">
        <v>0.74830879405952799</v>
      </c>
      <c r="BI5" s="21">
        <v>0.74993721041939598</v>
      </c>
      <c r="BJ5" s="21">
        <v>0.5</v>
      </c>
      <c r="BK5" s="38">
        <v>0</v>
      </c>
    </row>
    <row r="6" spans="1:63" x14ac:dyDescent="0.2">
      <c r="A6" s="8" t="s">
        <v>11</v>
      </c>
      <c r="B6" s="8" t="s">
        <v>33</v>
      </c>
      <c r="C6" s="12" t="s">
        <v>18</v>
      </c>
      <c r="D6" s="12" t="s">
        <v>39</v>
      </c>
      <c r="E6" s="12">
        <v>1618</v>
      </c>
      <c r="F6" s="12">
        <v>206</v>
      </c>
      <c r="G6" s="12">
        <v>2</v>
      </c>
      <c r="H6" s="12" t="s">
        <v>13</v>
      </c>
      <c r="I6" s="12" t="s">
        <v>14</v>
      </c>
      <c r="J6" s="15">
        <v>0.67317203684592697</v>
      </c>
      <c r="K6" s="18">
        <v>0.13743133133362201</v>
      </c>
      <c r="L6" s="15">
        <v>0.59407242140559602</v>
      </c>
      <c r="M6" s="15">
        <v>0.60234304846693698</v>
      </c>
      <c r="N6" s="16">
        <f>1/Table612[[#This Row],[n_classes]]</f>
        <v>0.5</v>
      </c>
      <c r="O6" s="27">
        <v>0</v>
      </c>
      <c r="Q6" s="35" t="s">
        <v>21</v>
      </c>
      <c r="R6" s="23" t="s">
        <v>42</v>
      </c>
      <c r="S6" s="23" t="s">
        <v>18</v>
      </c>
      <c r="T6" s="23" t="s">
        <v>50</v>
      </c>
      <c r="U6" s="23">
        <v>1618</v>
      </c>
      <c r="V6" s="23">
        <v>206</v>
      </c>
      <c r="W6" s="23">
        <v>4</v>
      </c>
      <c r="X6" s="23" t="s">
        <v>22</v>
      </c>
      <c r="Y6" s="23" t="s">
        <v>23</v>
      </c>
      <c r="Z6" s="21">
        <v>0.51805798534978298</v>
      </c>
      <c r="AA6" s="36">
        <v>5.2789359447513201E-2</v>
      </c>
      <c r="AB6" s="21">
        <v>0.43275156795208303</v>
      </c>
      <c r="AC6" s="21">
        <v>0.40462465246836699</v>
      </c>
      <c r="AD6" s="21">
        <v>0.25</v>
      </c>
      <c r="AE6" s="38">
        <v>0</v>
      </c>
      <c r="AG6" s="35" t="s">
        <v>24</v>
      </c>
      <c r="AH6" s="23" t="s">
        <v>43</v>
      </c>
      <c r="AI6" s="23" t="s">
        <v>16</v>
      </c>
      <c r="AJ6" s="23" t="s">
        <v>36</v>
      </c>
      <c r="AK6" s="23">
        <v>1618</v>
      </c>
      <c r="AL6" s="23">
        <v>206</v>
      </c>
      <c r="AM6" s="23">
        <v>3</v>
      </c>
      <c r="AN6" s="23" t="s">
        <v>25</v>
      </c>
      <c r="AO6" s="23" t="s">
        <v>26</v>
      </c>
      <c r="AP6" s="21">
        <v>0.56370064595038705</v>
      </c>
      <c r="AQ6" s="36">
        <v>7.0711539899786693E-2</v>
      </c>
      <c r="AR6" s="21">
        <v>0.56600412465205296</v>
      </c>
      <c r="AS6" s="21">
        <v>0.56274194457495597</v>
      </c>
      <c r="AT6" s="21">
        <v>0.33333333333333331</v>
      </c>
      <c r="AU6" s="38">
        <v>0</v>
      </c>
      <c r="AW6" s="35" t="s">
        <v>27</v>
      </c>
      <c r="AX6" s="23" t="s">
        <v>44</v>
      </c>
      <c r="AY6" s="23" t="s">
        <v>12</v>
      </c>
      <c r="AZ6" s="23" t="s">
        <v>37</v>
      </c>
      <c r="BA6" s="23">
        <v>1618</v>
      </c>
      <c r="BB6" s="23">
        <v>206</v>
      </c>
      <c r="BC6" s="23">
        <v>2</v>
      </c>
      <c r="BD6" s="23" t="s">
        <v>28</v>
      </c>
      <c r="BE6" s="23" t="s">
        <v>29</v>
      </c>
      <c r="BF6" s="21">
        <v>0.80040706341015899</v>
      </c>
      <c r="BG6" s="36">
        <v>5.6035353903200698E-2</v>
      </c>
      <c r="BH6" s="21">
        <v>0.75555353129440495</v>
      </c>
      <c r="BI6" s="21">
        <v>0.76284113302622103</v>
      </c>
      <c r="BJ6" s="21">
        <v>0.5</v>
      </c>
      <c r="BK6" s="38">
        <v>0</v>
      </c>
    </row>
    <row r="7" spans="1:63" x14ac:dyDescent="0.2">
      <c r="A7" s="8" t="s">
        <v>11</v>
      </c>
      <c r="B7" s="8" t="s">
        <v>33</v>
      </c>
      <c r="C7" s="12" t="s">
        <v>16</v>
      </c>
      <c r="D7" s="12" t="s">
        <v>36</v>
      </c>
      <c r="E7" s="12">
        <v>1618</v>
      </c>
      <c r="F7" s="12">
        <v>206</v>
      </c>
      <c r="G7" s="12">
        <v>2</v>
      </c>
      <c r="H7" s="12" t="s">
        <v>13</v>
      </c>
      <c r="I7" s="12" t="s">
        <v>14</v>
      </c>
      <c r="J7" s="15">
        <v>0.702774911134044</v>
      </c>
      <c r="K7" s="14">
        <v>6.0560773455026001E-2</v>
      </c>
      <c r="L7" s="15">
        <v>0.66079154974212795</v>
      </c>
      <c r="M7" s="15">
        <v>0.65547093403319201</v>
      </c>
      <c r="N7" s="16">
        <f>1/Table612[[#This Row],[n_classes]]</f>
        <v>0.5</v>
      </c>
      <c r="O7" s="27">
        <v>0</v>
      </c>
      <c r="Q7" s="35" t="s">
        <v>21</v>
      </c>
      <c r="R7" s="23" t="s">
        <v>42</v>
      </c>
      <c r="S7" s="23" t="s">
        <v>16</v>
      </c>
      <c r="T7" s="23" t="s">
        <v>36</v>
      </c>
      <c r="U7" s="23">
        <v>1618</v>
      </c>
      <c r="V7" s="23">
        <v>206</v>
      </c>
      <c r="W7" s="23">
        <v>4</v>
      </c>
      <c r="X7" s="23" t="s">
        <v>22</v>
      </c>
      <c r="Y7" s="23" t="s">
        <v>23</v>
      </c>
      <c r="Z7" s="21">
        <v>0.48875457036082598</v>
      </c>
      <c r="AA7" s="36">
        <v>6.1628216396525597E-2</v>
      </c>
      <c r="AB7" s="21">
        <v>0.44647137940092102</v>
      </c>
      <c r="AC7" s="21">
        <v>0.44383701982738799</v>
      </c>
      <c r="AD7" s="21">
        <v>0.25</v>
      </c>
      <c r="AE7" s="38">
        <v>0</v>
      </c>
      <c r="AG7" s="35" t="s">
        <v>24</v>
      </c>
      <c r="AH7" s="23" t="s">
        <v>43</v>
      </c>
      <c r="AI7" s="23" t="s">
        <v>20</v>
      </c>
      <c r="AJ7" s="23" t="s">
        <v>41</v>
      </c>
      <c r="AK7" s="23">
        <v>1618</v>
      </c>
      <c r="AL7" s="23">
        <v>206</v>
      </c>
      <c r="AM7" s="23">
        <v>3</v>
      </c>
      <c r="AN7" s="23" t="s">
        <v>25</v>
      </c>
      <c r="AO7" s="23" t="s">
        <v>26</v>
      </c>
      <c r="AP7" s="21">
        <v>0.56614302641134395</v>
      </c>
      <c r="AQ7" s="36">
        <v>4.9036621745931902E-2</v>
      </c>
      <c r="AR7" s="21">
        <v>0.56339272499384196</v>
      </c>
      <c r="AS7" s="21">
        <v>0.56559590141132698</v>
      </c>
      <c r="AT7" s="21">
        <v>0.33333333333333331</v>
      </c>
      <c r="AU7" s="38">
        <v>0</v>
      </c>
      <c r="AW7" s="35" t="s">
        <v>27</v>
      </c>
      <c r="AX7" s="23" t="s">
        <v>44</v>
      </c>
      <c r="AY7" s="23" t="s">
        <v>15</v>
      </c>
      <c r="AZ7" s="23" t="s">
        <v>35</v>
      </c>
      <c r="BA7" s="23">
        <v>1618</v>
      </c>
      <c r="BB7" s="23">
        <v>206</v>
      </c>
      <c r="BC7" s="23">
        <v>2</v>
      </c>
      <c r="BD7" s="23" t="s">
        <v>28</v>
      </c>
      <c r="BE7" s="23" t="s">
        <v>29</v>
      </c>
      <c r="BF7" s="21">
        <v>0.81091617933723104</v>
      </c>
      <c r="BG7" s="36">
        <v>5.7729096292023503E-2</v>
      </c>
      <c r="BH7" s="21">
        <v>0.76027707711460102</v>
      </c>
      <c r="BI7" s="21">
        <v>0.77041460741390499</v>
      </c>
      <c r="BJ7" s="21">
        <v>0.5</v>
      </c>
      <c r="BK7" s="38">
        <v>0</v>
      </c>
    </row>
    <row r="8" spans="1:63" x14ac:dyDescent="0.2">
      <c r="A8" s="19" t="s">
        <v>11</v>
      </c>
      <c r="B8" s="19" t="s">
        <v>33</v>
      </c>
      <c r="C8" s="17" t="s">
        <v>15</v>
      </c>
      <c r="D8" s="17" t="s">
        <v>35</v>
      </c>
      <c r="E8" s="17">
        <v>1618</v>
      </c>
      <c r="F8" s="17">
        <v>206</v>
      </c>
      <c r="G8" s="17">
        <v>2</v>
      </c>
      <c r="H8" s="17" t="s">
        <v>13</v>
      </c>
      <c r="I8" s="17" t="s">
        <v>14</v>
      </c>
      <c r="J8" s="20">
        <v>0.71329549363605005</v>
      </c>
      <c r="K8" s="24">
        <v>7.7252774275626504E-2</v>
      </c>
      <c r="L8" s="20">
        <v>0.66886235312724296</v>
      </c>
      <c r="M8" s="20">
        <v>0.66418586317788497</v>
      </c>
      <c r="N8" s="21">
        <f>1/Table612[[#This Row],[n_classes]]</f>
        <v>0.5</v>
      </c>
      <c r="O8" s="27">
        <v>0</v>
      </c>
      <c r="Q8" s="37" t="s">
        <v>21</v>
      </c>
      <c r="R8" s="22" t="s">
        <v>42</v>
      </c>
      <c r="S8" s="22" t="s">
        <v>12</v>
      </c>
      <c r="T8" s="22" t="s">
        <v>37</v>
      </c>
      <c r="U8" s="22">
        <v>1618</v>
      </c>
      <c r="V8" s="22">
        <v>206</v>
      </c>
      <c r="W8" s="22">
        <v>4</v>
      </c>
      <c r="X8" s="22" t="s">
        <v>22</v>
      </c>
      <c r="Y8" s="22" t="s">
        <v>23</v>
      </c>
      <c r="Z8" s="16">
        <v>0.51013041423493199</v>
      </c>
      <c r="AA8" s="38">
        <v>6.8048614536495702E-2</v>
      </c>
      <c r="AB8" s="16">
        <v>0.46321433535467899</v>
      </c>
      <c r="AC8" s="16">
        <v>0.45836713923492201</v>
      </c>
      <c r="AD8" s="16">
        <v>0.25</v>
      </c>
      <c r="AE8" s="38">
        <v>0</v>
      </c>
      <c r="AG8" s="37" t="s">
        <v>24</v>
      </c>
      <c r="AH8" s="23" t="s">
        <v>43</v>
      </c>
      <c r="AI8" s="22" t="s">
        <v>12</v>
      </c>
      <c r="AJ8" s="22" t="s">
        <v>37</v>
      </c>
      <c r="AK8" s="22">
        <v>1618</v>
      </c>
      <c r="AL8" s="22">
        <v>206</v>
      </c>
      <c r="AM8" s="22">
        <v>3</v>
      </c>
      <c r="AN8" s="22" t="s">
        <v>25</v>
      </c>
      <c r="AO8" s="22" t="s">
        <v>26</v>
      </c>
      <c r="AP8" s="16">
        <v>0.59459924320605395</v>
      </c>
      <c r="AQ8" s="22">
        <v>5.91861628504139E-2</v>
      </c>
      <c r="AR8" s="16">
        <v>0.59603293290926296</v>
      </c>
      <c r="AS8" s="16">
        <v>0.596155207737191</v>
      </c>
      <c r="AT8" s="16">
        <v>0.33333333333333331</v>
      </c>
      <c r="AU8" s="38">
        <v>0</v>
      </c>
      <c r="AW8" s="35" t="s">
        <v>27</v>
      </c>
      <c r="AX8" s="22" t="s">
        <v>44</v>
      </c>
      <c r="AY8" s="23" t="s">
        <v>18</v>
      </c>
      <c r="AZ8" s="22" t="s">
        <v>39</v>
      </c>
      <c r="BA8" s="23">
        <v>1618</v>
      </c>
      <c r="BB8" s="23">
        <v>206</v>
      </c>
      <c r="BC8" s="23">
        <v>2</v>
      </c>
      <c r="BD8" s="23" t="s">
        <v>28</v>
      </c>
      <c r="BE8" s="23" t="s">
        <v>29</v>
      </c>
      <c r="BF8" s="21">
        <v>0.833780529755761</v>
      </c>
      <c r="BG8" s="36">
        <v>7.1516343117552006E-2</v>
      </c>
      <c r="BH8" s="21">
        <v>0.76782466220649703</v>
      </c>
      <c r="BI8" s="21">
        <v>0.78577062889945104</v>
      </c>
      <c r="BJ8" s="21">
        <v>0.5</v>
      </c>
      <c r="BK8" s="38">
        <v>0</v>
      </c>
    </row>
    <row r="9" spans="1:63" x14ac:dyDescent="0.2">
      <c r="A9" s="19" t="s">
        <v>11</v>
      </c>
      <c r="B9" s="19" t="s">
        <v>33</v>
      </c>
      <c r="C9" s="17" t="s">
        <v>12</v>
      </c>
      <c r="D9" s="17" t="s">
        <v>37</v>
      </c>
      <c r="E9" s="17">
        <v>1618</v>
      </c>
      <c r="F9" s="17">
        <v>206</v>
      </c>
      <c r="G9" s="17">
        <v>2</v>
      </c>
      <c r="H9" s="17" t="s">
        <v>13</v>
      </c>
      <c r="I9" s="17" t="s">
        <v>14</v>
      </c>
      <c r="J9" s="21">
        <v>0.70587470855788703</v>
      </c>
      <c r="K9" s="24">
        <v>8.1253599867057394E-2</v>
      </c>
      <c r="L9" s="28">
        <v>0.68096475492059005</v>
      </c>
      <c r="M9" s="28">
        <v>0.66823070364772896</v>
      </c>
      <c r="N9" s="21">
        <f>1/Table612[[#This Row],[n_classes]]</f>
        <v>0.5</v>
      </c>
      <c r="O9" s="24">
        <v>0</v>
      </c>
      <c r="Q9" s="19" t="s">
        <v>21</v>
      </c>
      <c r="R9" s="17" t="s">
        <v>42</v>
      </c>
      <c r="S9" s="17" t="s">
        <v>15</v>
      </c>
      <c r="T9" s="17" t="s">
        <v>49</v>
      </c>
      <c r="U9" s="17">
        <v>1618</v>
      </c>
      <c r="V9" s="17">
        <v>206</v>
      </c>
      <c r="W9" s="17">
        <v>4</v>
      </c>
      <c r="X9" s="17" t="s">
        <v>22</v>
      </c>
      <c r="Y9" s="17" t="s">
        <v>23</v>
      </c>
      <c r="Z9" s="21">
        <v>0.51545239457842695</v>
      </c>
      <c r="AA9" s="24">
        <v>6.5806883023499005E-2</v>
      </c>
      <c r="AB9" s="21">
        <v>0.46598062321780598</v>
      </c>
      <c r="AC9" s="21">
        <v>0.46040496674883702</v>
      </c>
      <c r="AD9" s="21">
        <v>0.25</v>
      </c>
      <c r="AE9" s="36">
        <v>0</v>
      </c>
      <c r="AG9" s="8" t="s">
        <v>24</v>
      </c>
      <c r="AH9" s="17" t="s">
        <v>43</v>
      </c>
      <c r="AI9" s="12" t="s">
        <v>15</v>
      </c>
      <c r="AJ9" s="12" t="s">
        <v>49</v>
      </c>
      <c r="AK9" s="12">
        <v>1618</v>
      </c>
      <c r="AL9" s="12">
        <v>206</v>
      </c>
      <c r="AM9" s="12">
        <v>3</v>
      </c>
      <c r="AN9" s="22" t="s">
        <v>25</v>
      </c>
      <c r="AO9" s="12" t="s">
        <v>26</v>
      </c>
      <c r="AP9" s="16">
        <v>0.59583190001146602</v>
      </c>
      <c r="AQ9" s="14">
        <v>5.6455840800081501E-2</v>
      </c>
      <c r="AR9" s="16">
        <v>0.59669754106231598</v>
      </c>
      <c r="AS9" s="16">
        <v>0.59716870716770198</v>
      </c>
      <c r="AT9" s="16">
        <v>0.33333333333333331</v>
      </c>
      <c r="AU9" s="38">
        <v>0</v>
      </c>
      <c r="AW9" s="19" t="s">
        <v>27</v>
      </c>
      <c r="AX9" s="12" t="s">
        <v>44</v>
      </c>
      <c r="AY9" s="12" t="s">
        <v>20</v>
      </c>
      <c r="AZ9" s="12" t="s">
        <v>41</v>
      </c>
      <c r="BA9" s="12">
        <v>1618</v>
      </c>
      <c r="BB9" s="12">
        <v>206</v>
      </c>
      <c r="BC9" s="12">
        <v>2</v>
      </c>
      <c r="BD9" s="17" t="s">
        <v>28</v>
      </c>
      <c r="BE9" s="17" t="s">
        <v>29</v>
      </c>
      <c r="BF9" s="13">
        <v>0.84180139892214201</v>
      </c>
      <c r="BG9" s="14">
        <v>8.2613734032347896E-2</v>
      </c>
      <c r="BH9" s="13">
        <v>0.78437523129269904</v>
      </c>
      <c r="BI9" s="13">
        <v>0.79862896778877202</v>
      </c>
      <c r="BJ9" s="13">
        <v>0.5</v>
      </c>
      <c r="BK9" s="38">
        <v>0</v>
      </c>
    </row>
    <row r="17" spans="8:8" x14ac:dyDescent="0.2">
      <c r="H17" t="s">
        <v>45</v>
      </c>
    </row>
  </sheetData>
  <pageMargins left="0.7" right="0.7" top="0.75" bottom="0.75" header="0.3" footer="0.3"/>
  <drawing r:id="rId1"/>
  <tableParts count="4">
    <tablePart r:id="rId2"/>
    <tablePart r:id="rId3"/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31D53-0023-CC4F-96D2-0C5C7E10B861}">
  <dimension ref="A1:N29"/>
  <sheetViews>
    <sheetView topLeftCell="A47" workbookViewId="0">
      <selection activeCell="J56" sqref="J56"/>
    </sheetView>
  </sheetViews>
  <sheetFormatPr baseColWidth="10" defaultRowHeight="16" x14ac:dyDescent="0.2"/>
  <cols>
    <col min="1" max="1" width="17" bestFit="1" customWidth="1"/>
    <col min="2" max="2" width="43.83203125" bestFit="1" customWidth="1"/>
    <col min="3" max="3" width="14.33203125" bestFit="1" customWidth="1"/>
    <col min="4" max="4" width="26.1640625" bestFit="1" customWidth="1"/>
    <col min="5" max="5" width="12.6640625" bestFit="1" customWidth="1"/>
    <col min="6" max="6" width="13.1640625" bestFit="1" customWidth="1"/>
    <col min="7" max="7" width="12" bestFit="1" customWidth="1"/>
    <col min="8" max="8" width="49.83203125" bestFit="1" customWidth="1"/>
    <col min="9" max="9" width="34" bestFit="1" customWidth="1"/>
    <col min="10" max="10" width="16.6640625" bestFit="1" customWidth="1"/>
    <col min="11" max="11" width="14.6640625" bestFit="1" customWidth="1"/>
    <col min="12" max="12" width="25.33203125" bestFit="1" customWidth="1"/>
    <col min="13" max="13" width="17" bestFit="1" customWidth="1"/>
    <col min="14" max="14" width="10.6640625" bestFit="1" customWidth="1"/>
  </cols>
  <sheetData>
    <row r="1" spans="1:14" x14ac:dyDescent="0.2">
      <c r="A1" t="s">
        <v>0</v>
      </c>
      <c r="B1" t="s">
        <v>32</v>
      </c>
      <c r="C1" t="s">
        <v>1</v>
      </c>
      <c r="D1" t="s">
        <v>31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30</v>
      </c>
    </row>
    <row r="2" spans="1:14" x14ac:dyDescent="0.2">
      <c r="A2" t="s">
        <v>11</v>
      </c>
      <c r="B2" s="8" t="s">
        <v>33</v>
      </c>
      <c r="C2" t="s">
        <v>12</v>
      </c>
      <c r="D2" s="12" t="s">
        <v>37</v>
      </c>
      <c r="E2">
        <v>1618</v>
      </c>
      <c r="F2">
        <v>206</v>
      </c>
      <c r="G2">
        <v>2</v>
      </c>
      <c r="H2" t="s">
        <v>13</v>
      </c>
      <c r="I2" t="s">
        <v>14</v>
      </c>
      <c r="J2" s="6">
        <v>0.70587470855788703</v>
      </c>
      <c r="K2" s="4">
        <v>8.1253599867057394E-2</v>
      </c>
      <c r="L2" s="7">
        <v>0.68096475492059005</v>
      </c>
      <c r="M2" s="7">
        <v>0.66823070364772896</v>
      </c>
      <c r="N2" s="6">
        <f>1/Table123[[#This Row],[n_classes]]</f>
        <v>0.5</v>
      </c>
    </row>
    <row r="3" spans="1:14" x14ac:dyDescent="0.2">
      <c r="A3" t="s">
        <v>11</v>
      </c>
      <c r="B3" s="8" t="s">
        <v>33</v>
      </c>
      <c r="C3" t="s">
        <v>15</v>
      </c>
      <c r="D3" s="12" t="s">
        <v>35</v>
      </c>
      <c r="E3">
        <v>1618</v>
      </c>
      <c r="F3">
        <v>206</v>
      </c>
      <c r="G3">
        <v>2</v>
      </c>
      <c r="H3" t="s">
        <v>13</v>
      </c>
      <c r="I3" t="s">
        <v>14</v>
      </c>
      <c r="J3" s="7">
        <v>0.71329549363605005</v>
      </c>
      <c r="K3" s="4">
        <v>7.7252774275626504E-2</v>
      </c>
      <c r="L3" s="7">
        <v>0.66886235312724296</v>
      </c>
      <c r="M3" s="7">
        <v>0.66418586317788497</v>
      </c>
      <c r="N3" s="6">
        <f>1/Table123[[#This Row],[n_classes]]</f>
        <v>0.5</v>
      </c>
    </row>
    <row r="4" spans="1:14" x14ac:dyDescent="0.2">
      <c r="A4" t="s">
        <v>11</v>
      </c>
      <c r="B4" s="8" t="s">
        <v>33</v>
      </c>
      <c r="C4" t="s">
        <v>16</v>
      </c>
      <c r="D4" s="12" t="s">
        <v>36</v>
      </c>
      <c r="E4">
        <v>1618</v>
      </c>
      <c r="F4">
        <v>206</v>
      </c>
      <c r="G4">
        <v>2</v>
      </c>
      <c r="H4" t="s">
        <v>13</v>
      </c>
      <c r="I4" t="s">
        <v>14</v>
      </c>
      <c r="J4" s="7">
        <v>0.702774911134044</v>
      </c>
      <c r="K4" s="4">
        <v>6.0560773455026001E-2</v>
      </c>
      <c r="L4" s="7">
        <v>0.66079154974212795</v>
      </c>
      <c r="M4" s="7">
        <v>0.65547093403319201</v>
      </c>
      <c r="N4" s="6">
        <f>1/Table123[[#This Row],[n_classes]]</f>
        <v>0.5</v>
      </c>
    </row>
    <row r="5" spans="1:14" x14ac:dyDescent="0.2">
      <c r="A5" t="s">
        <v>11</v>
      </c>
      <c r="B5" s="8" t="s">
        <v>33</v>
      </c>
      <c r="C5" t="s">
        <v>17</v>
      </c>
      <c r="D5" s="12" t="s">
        <v>38</v>
      </c>
      <c r="E5">
        <v>1618</v>
      </c>
      <c r="F5">
        <v>206</v>
      </c>
      <c r="G5">
        <v>2</v>
      </c>
      <c r="H5" t="s">
        <v>13</v>
      </c>
      <c r="I5" t="s">
        <v>14</v>
      </c>
      <c r="J5" s="7">
        <v>0.55391010205251601</v>
      </c>
      <c r="K5" s="5">
        <v>0.120158331311592</v>
      </c>
      <c r="L5" s="6">
        <v>0.63461141862729398</v>
      </c>
      <c r="M5" s="7">
        <v>0.55137596337485495</v>
      </c>
      <c r="N5" s="6">
        <f>1/Table123[[#This Row],[n_classes]]</f>
        <v>0.5</v>
      </c>
    </row>
    <row r="6" spans="1:14" x14ac:dyDescent="0.2">
      <c r="A6" t="s">
        <v>11</v>
      </c>
      <c r="B6" s="8" t="s">
        <v>33</v>
      </c>
      <c r="C6" t="s">
        <v>18</v>
      </c>
      <c r="D6" s="12" t="s">
        <v>39</v>
      </c>
      <c r="E6">
        <v>1618</v>
      </c>
      <c r="F6">
        <v>206</v>
      </c>
      <c r="G6">
        <v>2</v>
      </c>
      <c r="H6" t="s">
        <v>13</v>
      </c>
      <c r="I6" t="s">
        <v>14</v>
      </c>
      <c r="J6" s="7">
        <v>0.67317203684592697</v>
      </c>
      <c r="K6" s="5">
        <v>0.13743133133362201</v>
      </c>
      <c r="L6" s="7">
        <v>0.59407242140559602</v>
      </c>
      <c r="M6" s="7">
        <v>0.60234304846693698</v>
      </c>
      <c r="N6" s="6">
        <f>1/Table123[[#This Row],[n_classes]]</f>
        <v>0.5</v>
      </c>
    </row>
    <row r="7" spans="1:14" x14ac:dyDescent="0.2">
      <c r="A7" t="s">
        <v>11</v>
      </c>
      <c r="B7" s="8" t="s">
        <v>33</v>
      </c>
      <c r="C7" t="s">
        <v>19</v>
      </c>
      <c r="D7" s="12" t="s">
        <v>40</v>
      </c>
      <c r="E7">
        <v>1618</v>
      </c>
      <c r="F7">
        <v>206</v>
      </c>
      <c r="G7">
        <v>2</v>
      </c>
      <c r="H7" t="s">
        <v>13</v>
      </c>
      <c r="I7" t="s">
        <v>14</v>
      </c>
      <c r="J7" s="7">
        <v>0.61997477353514496</v>
      </c>
      <c r="K7" s="4">
        <v>9.9890237040341098E-2</v>
      </c>
      <c r="L7" s="7">
        <v>0.56095113331150204</v>
      </c>
      <c r="M7" s="7">
        <v>0.55796863691364196</v>
      </c>
      <c r="N7" s="6">
        <f>1/Table123[[#This Row],[n_classes]]</f>
        <v>0.5</v>
      </c>
    </row>
    <row r="8" spans="1:14" x14ac:dyDescent="0.2">
      <c r="A8" t="s">
        <v>11</v>
      </c>
      <c r="B8" s="8" t="s">
        <v>33</v>
      </c>
      <c r="C8" t="s">
        <v>20</v>
      </c>
      <c r="D8" s="17" t="s">
        <v>41</v>
      </c>
      <c r="E8">
        <v>1618</v>
      </c>
      <c r="F8">
        <v>206</v>
      </c>
      <c r="G8">
        <v>2</v>
      </c>
      <c r="H8" t="s">
        <v>13</v>
      </c>
      <c r="I8" t="s">
        <v>14</v>
      </c>
      <c r="J8" s="7">
        <v>0.66015365210411603</v>
      </c>
      <c r="K8" s="5">
        <v>0.105292336531909</v>
      </c>
      <c r="L8" s="7">
        <v>0.52727467775039505</v>
      </c>
      <c r="M8" s="7">
        <v>0.52276208318990802</v>
      </c>
      <c r="N8" s="6">
        <f>1/Table123[[#This Row],[n_classes]]</f>
        <v>0.5</v>
      </c>
    </row>
    <row r="9" spans="1:14" x14ac:dyDescent="0.2">
      <c r="A9" t="s">
        <v>21</v>
      </c>
      <c r="B9" s="8" t="s">
        <v>42</v>
      </c>
      <c r="C9" t="s">
        <v>15</v>
      </c>
      <c r="D9" s="12" t="s">
        <v>37</v>
      </c>
      <c r="E9">
        <v>1618</v>
      </c>
      <c r="F9">
        <v>206</v>
      </c>
      <c r="G9">
        <v>4</v>
      </c>
      <c r="H9" t="s">
        <v>22</v>
      </c>
      <c r="I9" t="s">
        <v>23</v>
      </c>
      <c r="J9" s="7">
        <v>0.51545239457842695</v>
      </c>
      <c r="K9" s="4">
        <v>6.5806883023499005E-2</v>
      </c>
      <c r="L9" s="7">
        <v>0.46598062321780598</v>
      </c>
      <c r="M9" s="7">
        <v>0.46040496674883702</v>
      </c>
      <c r="N9" s="6">
        <f>1/Table123[[#This Row],[n_classes]]</f>
        <v>0.25</v>
      </c>
    </row>
    <row r="10" spans="1:14" x14ac:dyDescent="0.2">
      <c r="A10" t="s">
        <v>21</v>
      </c>
      <c r="B10" s="8" t="s">
        <v>42</v>
      </c>
      <c r="C10" t="s">
        <v>12</v>
      </c>
      <c r="D10" s="12" t="s">
        <v>35</v>
      </c>
      <c r="E10">
        <v>1618</v>
      </c>
      <c r="F10">
        <v>206</v>
      </c>
      <c r="G10">
        <v>4</v>
      </c>
      <c r="H10" t="s">
        <v>22</v>
      </c>
      <c r="I10" t="s">
        <v>23</v>
      </c>
      <c r="J10" s="7">
        <v>0.51013041423493199</v>
      </c>
      <c r="K10" s="4">
        <v>6.8048614536495702E-2</v>
      </c>
      <c r="L10" s="7">
        <v>0.46321433535467899</v>
      </c>
      <c r="M10" s="7">
        <v>0.45836713923492201</v>
      </c>
      <c r="N10" s="6">
        <f>1/Table123[[#This Row],[n_classes]]</f>
        <v>0.25</v>
      </c>
    </row>
    <row r="11" spans="1:14" x14ac:dyDescent="0.2">
      <c r="A11" t="s">
        <v>21</v>
      </c>
      <c r="B11" s="8" t="s">
        <v>42</v>
      </c>
      <c r="C11" t="s">
        <v>16</v>
      </c>
      <c r="D11" s="12" t="s">
        <v>36</v>
      </c>
      <c r="E11">
        <v>1618</v>
      </c>
      <c r="F11">
        <v>206</v>
      </c>
      <c r="G11">
        <v>4</v>
      </c>
      <c r="H11" t="s">
        <v>22</v>
      </c>
      <c r="I11" t="s">
        <v>23</v>
      </c>
      <c r="J11" s="7">
        <v>0.48875457036082598</v>
      </c>
      <c r="K11" s="4">
        <v>6.1628216396525597E-2</v>
      </c>
      <c r="L11" s="7">
        <v>0.44647137940092102</v>
      </c>
      <c r="M11" s="7">
        <v>0.44383701982738799</v>
      </c>
      <c r="N11" s="6">
        <f>1/Table123[[#This Row],[n_classes]]</f>
        <v>0.25</v>
      </c>
    </row>
    <row r="12" spans="1:14" x14ac:dyDescent="0.2">
      <c r="A12" t="s">
        <v>21</v>
      </c>
      <c r="B12" s="8" t="s">
        <v>42</v>
      </c>
      <c r="C12" t="s">
        <v>18</v>
      </c>
      <c r="D12" s="12" t="s">
        <v>38</v>
      </c>
      <c r="E12">
        <v>1618</v>
      </c>
      <c r="F12">
        <v>206</v>
      </c>
      <c r="G12">
        <v>4</v>
      </c>
      <c r="H12" t="s">
        <v>22</v>
      </c>
      <c r="I12" t="s">
        <v>23</v>
      </c>
      <c r="J12" s="7">
        <v>0.51805798534978298</v>
      </c>
      <c r="K12" s="4">
        <v>5.2789359447513201E-2</v>
      </c>
      <c r="L12" s="7">
        <v>0.43275156795208303</v>
      </c>
      <c r="M12" s="7">
        <v>0.40462465246836699</v>
      </c>
      <c r="N12" s="6">
        <f>1/Table123[[#This Row],[n_classes]]</f>
        <v>0.25</v>
      </c>
    </row>
    <row r="13" spans="1:14" x14ac:dyDescent="0.2">
      <c r="A13" t="s">
        <v>21</v>
      </c>
      <c r="B13" s="8" t="s">
        <v>42</v>
      </c>
      <c r="C13" t="s">
        <v>20</v>
      </c>
      <c r="D13" s="12" t="s">
        <v>39</v>
      </c>
      <c r="E13">
        <v>1618</v>
      </c>
      <c r="F13">
        <v>206</v>
      </c>
      <c r="G13">
        <v>4</v>
      </c>
      <c r="H13" t="s">
        <v>22</v>
      </c>
      <c r="I13" t="s">
        <v>23</v>
      </c>
      <c r="J13" s="7">
        <v>0.52356447763176395</v>
      </c>
      <c r="K13" s="5">
        <v>3.6909423797048299E-2</v>
      </c>
      <c r="L13" s="7">
        <v>0.42738905927207199</v>
      </c>
      <c r="M13" s="7">
        <v>0.377369354154938</v>
      </c>
      <c r="N13" s="6">
        <f>1/Table123[[#This Row],[n_classes]]</f>
        <v>0.25</v>
      </c>
    </row>
    <row r="14" spans="1:14" x14ac:dyDescent="0.2">
      <c r="A14" t="s">
        <v>21</v>
      </c>
      <c r="B14" s="8" t="s">
        <v>42</v>
      </c>
      <c r="C14" t="s">
        <v>19</v>
      </c>
      <c r="D14" s="12" t="s">
        <v>40</v>
      </c>
      <c r="E14">
        <v>1618</v>
      </c>
      <c r="F14">
        <v>206</v>
      </c>
      <c r="G14">
        <v>4</v>
      </c>
      <c r="H14" t="s">
        <v>22</v>
      </c>
      <c r="I14" t="s">
        <v>23</v>
      </c>
      <c r="J14" s="6">
        <v>0.43883992314137099</v>
      </c>
      <c r="K14" s="4">
        <v>5.3995505574256399E-2</v>
      </c>
      <c r="L14" s="7">
        <v>0.40138932958574802</v>
      </c>
      <c r="M14" s="7">
        <v>0.39808607188970002</v>
      </c>
      <c r="N14" s="6">
        <f>1/Table123[[#This Row],[n_classes]]</f>
        <v>0.25</v>
      </c>
    </row>
    <row r="15" spans="1:14" x14ac:dyDescent="0.2">
      <c r="A15" t="s">
        <v>21</v>
      </c>
      <c r="B15" s="8" t="s">
        <v>42</v>
      </c>
      <c r="C15" t="s">
        <v>17</v>
      </c>
      <c r="D15" s="17" t="s">
        <v>41</v>
      </c>
      <c r="E15">
        <v>1618</v>
      </c>
      <c r="F15">
        <v>206</v>
      </c>
      <c r="G15">
        <v>4</v>
      </c>
      <c r="H15" t="s">
        <v>22</v>
      </c>
      <c r="I15" t="s">
        <v>23</v>
      </c>
      <c r="J15" s="7">
        <v>0.39237799642138199</v>
      </c>
      <c r="K15" s="4">
        <v>6.6417622743339996E-2</v>
      </c>
      <c r="L15" s="7">
        <v>0.34600743784042298</v>
      </c>
      <c r="M15" s="7">
        <v>0.33821618650250601</v>
      </c>
      <c r="N15" s="6">
        <f>1/Table123[[#This Row],[n_classes]]</f>
        <v>0.25</v>
      </c>
    </row>
    <row r="16" spans="1:14" x14ac:dyDescent="0.2">
      <c r="A16" t="s">
        <v>24</v>
      </c>
      <c r="B16" s="17" t="s">
        <v>43</v>
      </c>
      <c r="C16" t="s">
        <v>15</v>
      </c>
      <c r="D16" s="12" t="s">
        <v>37</v>
      </c>
      <c r="E16">
        <v>1618</v>
      </c>
      <c r="F16">
        <v>206</v>
      </c>
      <c r="G16">
        <v>3</v>
      </c>
      <c r="H16" t="s">
        <v>25</v>
      </c>
      <c r="I16" t="s">
        <v>26</v>
      </c>
      <c r="J16" s="7">
        <v>0.59583190001146602</v>
      </c>
      <c r="K16" s="4">
        <v>5.6455840800081501E-2</v>
      </c>
      <c r="L16" s="7">
        <v>0.59669754106231598</v>
      </c>
      <c r="M16" s="7">
        <v>0.59716870716770198</v>
      </c>
      <c r="N16" s="6">
        <f>1/Table123[[#This Row],[n_classes]]</f>
        <v>0.33333333333333331</v>
      </c>
    </row>
    <row r="17" spans="1:14" x14ac:dyDescent="0.2">
      <c r="A17" t="s">
        <v>24</v>
      </c>
      <c r="B17" s="17" t="s">
        <v>43</v>
      </c>
      <c r="C17" t="s">
        <v>12</v>
      </c>
      <c r="D17" s="12" t="s">
        <v>35</v>
      </c>
      <c r="E17">
        <v>1618</v>
      </c>
      <c r="F17">
        <v>206</v>
      </c>
      <c r="G17">
        <v>3</v>
      </c>
      <c r="H17" t="s">
        <v>25</v>
      </c>
      <c r="I17" t="s">
        <v>26</v>
      </c>
      <c r="J17" s="7">
        <v>0.59459924320605395</v>
      </c>
      <c r="K17" s="5">
        <v>5.91861628504139E-2</v>
      </c>
      <c r="L17" s="7">
        <v>0.59603293290926296</v>
      </c>
      <c r="M17" s="7">
        <v>0.596155207737191</v>
      </c>
      <c r="N17" s="6">
        <f>1/Table123[[#This Row],[n_classes]]</f>
        <v>0.33333333333333331</v>
      </c>
    </row>
    <row r="18" spans="1:14" x14ac:dyDescent="0.2">
      <c r="A18" t="s">
        <v>24</v>
      </c>
      <c r="B18" s="17" t="s">
        <v>43</v>
      </c>
      <c r="C18" t="s">
        <v>16</v>
      </c>
      <c r="D18" s="12" t="s">
        <v>36</v>
      </c>
      <c r="E18">
        <v>1618</v>
      </c>
      <c r="F18">
        <v>206</v>
      </c>
      <c r="G18">
        <v>3</v>
      </c>
      <c r="H18" t="s">
        <v>25</v>
      </c>
      <c r="I18" t="s">
        <v>26</v>
      </c>
      <c r="J18" s="7">
        <v>0.56370064595038705</v>
      </c>
      <c r="K18" s="4">
        <v>7.0711539899786693E-2</v>
      </c>
      <c r="L18" s="7">
        <v>0.56600412465205296</v>
      </c>
      <c r="M18" s="6">
        <v>0.56274194457495597</v>
      </c>
      <c r="N18" s="6">
        <f>1/Table123[[#This Row],[n_classes]]</f>
        <v>0.33333333333333331</v>
      </c>
    </row>
    <row r="19" spans="1:14" x14ac:dyDescent="0.2">
      <c r="A19" t="s">
        <v>24</v>
      </c>
      <c r="B19" s="17" t="s">
        <v>43</v>
      </c>
      <c r="C19" t="s">
        <v>20</v>
      </c>
      <c r="D19" s="12" t="s">
        <v>38</v>
      </c>
      <c r="E19">
        <v>1618</v>
      </c>
      <c r="F19">
        <v>206</v>
      </c>
      <c r="G19">
        <v>3</v>
      </c>
      <c r="H19" t="s">
        <v>25</v>
      </c>
      <c r="I19" t="s">
        <v>26</v>
      </c>
      <c r="J19" s="7">
        <v>0.56614302641134395</v>
      </c>
      <c r="K19" s="4">
        <v>4.9036621745931902E-2</v>
      </c>
      <c r="L19" s="7">
        <v>0.56339272499384196</v>
      </c>
      <c r="M19" s="7">
        <v>0.56559590141132698</v>
      </c>
      <c r="N19" s="6">
        <f>1/Table123[[#This Row],[n_classes]]</f>
        <v>0.33333333333333331</v>
      </c>
    </row>
    <row r="20" spans="1:14" x14ac:dyDescent="0.2">
      <c r="A20" t="s">
        <v>24</v>
      </c>
      <c r="B20" s="17" t="s">
        <v>43</v>
      </c>
      <c r="C20" t="s">
        <v>18</v>
      </c>
      <c r="D20" s="12" t="s">
        <v>39</v>
      </c>
      <c r="E20">
        <v>1618</v>
      </c>
      <c r="F20">
        <v>206</v>
      </c>
      <c r="G20">
        <v>3</v>
      </c>
      <c r="H20" t="s">
        <v>25</v>
      </c>
      <c r="I20" t="s">
        <v>26</v>
      </c>
      <c r="J20" s="7">
        <v>0.55253984634789499</v>
      </c>
      <c r="K20" s="5">
        <v>3.7416395426691201E-2</v>
      </c>
      <c r="L20" s="6">
        <v>0.55403442293585503</v>
      </c>
      <c r="M20" s="7">
        <v>0.55822580977011804</v>
      </c>
      <c r="N20" s="6">
        <f>1/Table123[[#This Row],[n_classes]]</f>
        <v>0.33333333333333331</v>
      </c>
    </row>
    <row r="21" spans="1:14" x14ac:dyDescent="0.2">
      <c r="A21" t="s">
        <v>24</v>
      </c>
      <c r="B21" s="17" t="s">
        <v>43</v>
      </c>
      <c r="C21" t="s">
        <v>19</v>
      </c>
      <c r="D21" s="12" t="s">
        <v>40</v>
      </c>
      <c r="E21">
        <v>1618</v>
      </c>
      <c r="F21">
        <v>206</v>
      </c>
      <c r="G21">
        <v>3</v>
      </c>
      <c r="H21" t="s">
        <v>25</v>
      </c>
      <c r="I21" t="s">
        <v>26</v>
      </c>
      <c r="J21" s="7">
        <v>0.49633451821274299</v>
      </c>
      <c r="K21" s="4">
        <v>5.1446687823887498E-2</v>
      </c>
      <c r="L21" s="7">
        <v>0.49899361049026902</v>
      </c>
      <c r="M21" s="7">
        <v>0.50464118373071598</v>
      </c>
      <c r="N21" s="6">
        <f>1/Table123[[#This Row],[n_classes]]</f>
        <v>0.33333333333333331</v>
      </c>
    </row>
    <row r="22" spans="1:14" x14ac:dyDescent="0.2">
      <c r="A22" t="s">
        <v>24</v>
      </c>
      <c r="B22" s="17" t="s">
        <v>43</v>
      </c>
      <c r="C22" t="s">
        <v>17</v>
      </c>
      <c r="D22" s="17" t="s">
        <v>41</v>
      </c>
      <c r="E22">
        <v>1618</v>
      </c>
      <c r="F22">
        <v>206</v>
      </c>
      <c r="G22">
        <v>3</v>
      </c>
      <c r="H22" t="s">
        <v>25</v>
      </c>
      <c r="I22" t="s">
        <v>26</v>
      </c>
      <c r="J22" s="7">
        <v>0.474024385582693</v>
      </c>
      <c r="K22" s="4">
        <v>6.3241906967112002E-2</v>
      </c>
      <c r="L22" s="6">
        <v>0.48518171056732601</v>
      </c>
      <c r="M22" s="7">
        <v>0.466964140097199</v>
      </c>
      <c r="N22" s="6">
        <f>1/Table123[[#This Row],[n_classes]]</f>
        <v>0.33333333333333331</v>
      </c>
    </row>
    <row r="23" spans="1:14" x14ac:dyDescent="0.2">
      <c r="A23" t="s">
        <v>27</v>
      </c>
      <c r="B23" s="12" t="s">
        <v>44</v>
      </c>
      <c r="C23" t="s">
        <v>20</v>
      </c>
      <c r="D23" s="12" t="s">
        <v>37</v>
      </c>
      <c r="E23">
        <v>1618</v>
      </c>
      <c r="F23">
        <v>206</v>
      </c>
      <c r="G23">
        <v>2</v>
      </c>
      <c r="H23" t="s">
        <v>28</v>
      </c>
      <c r="I23" t="s">
        <v>29</v>
      </c>
      <c r="J23" s="6">
        <v>0.84180139892214201</v>
      </c>
      <c r="K23" s="4">
        <v>8.2613734032347896E-2</v>
      </c>
      <c r="L23" s="7">
        <v>0.78437523129269904</v>
      </c>
      <c r="M23" s="7">
        <v>0.79862896778877202</v>
      </c>
      <c r="N23" s="6">
        <f>1/Table123[[#This Row],[n_classes]]</f>
        <v>0.5</v>
      </c>
    </row>
    <row r="24" spans="1:14" x14ac:dyDescent="0.2">
      <c r="A24" t="s">
        <v>27</v>
      </c>
      <c r="B24" s="12" t="s">
        <v>44</v>
      </c>
      <c r="C24" t="s">
        <v>18</v>
      </c>
      <c r="D24" s="12" t="s">
        <v>35</v>
      </c>
      <c r="E24">
        <v>1618</v>
      </c>
      <c r="F24">
        <v>206</v>
      </c>
      <c r="G24">
        <v>2</v>
      </c>
      <c r="H24" t="s">
        <v>28</v>
      </c>
      <c r="I24" t="s">
        <v>29</v>
      </c>
      <c r="J24" s="7">
        <v>0.833780529755761</v>
      </c>
      <c r="K24" s="4">
        <v>7.1516343117552006E-2</v>
      </c>
      <c r="L24" s="7">
        <v>0.76782466220649703</v>
      </c>
      <c r="M24" s="7">
        <v>0.78577062889945104</v>
      </c>
      <c r="N24" s="6">
        <f>1/Table123[[#This Row],[n_classes]]</f>
        <v>0.5</v>
      </c>
    </row>
    <row r="25" spans="1:14" x14ac:dyDescent="0.2">
      <c r="A25" t="s">
        <v>27</v>
      </c>
      <c r="B25" s="12" t="s">
        <v>44</v>
      </c>
      <c r="C25" t="s">
        <v>15</v>
      </c>
      <c r="D25" s="12" t="s">
        <v>36</v>
      </c>
      <c r="E25">
        <v>1618</v>
      </c>
      <c r="F25">
        <v>206</v>
      </c>
      <c r="G25">
        <v>2</v>
      </c>
      <c r="H25" t="s">
        <v>28</v>
      </c>
      <c r="I25" t="s">
        <v>29</v>
      </c>
      <c r="J25" s="7">
        <v>0.81091617933723104</v>
      </c>
      <c r="K25" s="4">
        <v>5.7729096292023503E-2</v>
      </c>
      <c r="L25" s="7">
        <v>0.76027707711460102</v>
      </c>
      <c r="M25" s="7">
        <v>0.77041460741390499</v>
      </c>
      <c r="N25" s="6">
        <f>1/Table123[[#This Row],[n_classes]]</f>
        <v>0.5</v>
      </c>
    </row>
    <row r="26" spans="1:14" x14ac:dyDescent="0.2">
      <c r="A26" t="s">
        <v>27</v>
      </c>
      <c r="B26" s="12" t="s">
        <v>44</v>
      </c>
      <c r="C26" t="s">
        <v>12</v>
      </c>
      <c r="D26" s="12" t="s">
        <v>38</v>
      </c>
      <c r="E26">
        <v>1618</v>
      </c>
      <c r="F26">
        <v>206</v>
      </c>
      <c r="G26">
        <v>2</v>
      </c>
      <c r="H26" t="s">
        <v>28</v>
      </c>
      <c r="I26" t="s">
        <v>29</v>
      </c>
      <c r="J26" s="7">
        <v>0.80040706341015899</v>
      </c>
      <c r="K26" s="4">
        <v>5.6035353903200698E-2</v>
      </c>
      <c r="L26" s="7">
        <v>0.75555353129440495</v>
      </c>
      <c r="M26" s="7">
        <v>0.76284113302622103</v>
      </c>
      <c r="N26" s="6">
        <f>1/Table123[[#This Row],[n_classes]]</f>
        <v>0.5</v>
      </c>
    </row>
    <row r="27" spans="1:14" x14ac:dyDescent="0.2">
      <c r="A27" t="s">
        <v>27</v>
      </c>
      <c r="B27" s="12" t="s">
        <v>44</v>
      </c>
      <c r="C27" t="s">
        <v>17</v>
      </c>
      <c r="D27" s="12" t="s">
        <v>39</v>
      </c>
      <c r="E27">
        <v>1618</v>
      </c>
      <c r="F27">
        <v>206</v>
      </c>
      <c r="G27">
        <v>2</v>
      </c>
      <c r="H27" t="s">
        <v>28</v>
      </c>
      <c r="I27" t="s">
        <v>29</v>
      </c>
      <c r="J27" s="7">
        <v>0.79237854986048994</v>
      </c>
      <c r="K27" s="4">
        <v>6.7867442780557799E-2</v>
      </c>
      <c r="L27" s="7">
        <v>0.74830879405952799</v>
      </c>
      <c r="M27" s="7">
        <v>0.74993721041939598</v>
      </c>
      <c r="N27" s="6">
        <f>1/Table123[[#This Row],[n_classes]]</f>
        <v>0.5</v>
      </c>
    </row>
    <row r="28" spans="1:14" x14ac:dyDescent="0.2">
      <c r="A28" t="s">
        <v>27</v>
      </c>
      <c r="B28" s="12" t="s">
        <v>44</v>
      </c>
      <c r="C28" t="s">
        <v>16</v>
      </c>
      <c r="D28" s="12" t="s">
        <v>40</v>
      </c>
      <c r="E28">
        <v>1618</v>
      </c>
      <c r="F28">
        <v>206</v>
      </c>
      <c r="G28">
        <v>2</v>
      </c>
      <c r="H28" t="s">
        <v>28</v>
      </c>
      <c r="I28" t="s">
        <v>29</v>
      </c>
      <c r="J28" s="7">
        <v>0.786813438825822</v>
      </c>
      <c r="K28" s="4">
        <v>5.4080047031732997E-2</v>
      </c>
      <c r="L28" s="6">
        <v>0.73758878814847895</v>
      </c>
      <c r="M28" s="7">
        <v>0.74512754244860402</v>
      </c>
      <c r="N28" s="6">
        <f>1/Table123[[#This Row],[n_classes]]</f>
        <v>0.5</v>
      </c>
    </row>
    <row r="29" spans="1:14" x14ac:dyDescent="0.2">
      <c r="A29" t="s">
        <v>27</v>
      </c>
      <c r="B29" s="12" t="s">
        <v>44</v>
      </c>
      <c r="C29" t="s">
        <v>19</v>
      </c>
      <c r="D29" s="17" t="s">
        <v>41</v>
      </c>
      <c r="E29">
        <v>1618</v>
      </c>
      <c r="F29">
        <v>206</v>
      </c>
      <c r="G29">
        <v>2</v>
      </c>
      <c r="H29" t="s">
        <v>28</v>
      </c>
      <c r="I29" t="s">
        <v>29</v>
      </c>
      <c r="J29" s="7">
        <v>0.800418529985093</v>
      </c>
      <c r="K29" s="5">
        <v>5.6845936994475599E-2</v>
      </c>
      <c r="L29" s="7">
        <v>0.72445507070771498</v>
      </c>
      <c r="M29" s="7">
        <v>0.74077977016764596</v>
      </c>
      <c r="N29" s="6">
        <f>1/Table123[[#This Row],[n_classes]]</f>
        <v>0.5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87AB1-FE2D-D240-B4BC-A7286D302FD8}">
  <dimension ref="A1:BN9"/>
  <sheetViews>
    <sheetView workbookViewId="0">
      <selection activeCell="K24" sqref="K24"/>
    </sheetView>
  </sheetViews>
  <sheetFormatPr baseColWidth="10" defaultRowHeight="16" x14ac:dyDescent="0.2"/>
  <cols>
    <col min="1" max="1" width="35.33203125" bestFit="1" customWidth="1"/>
    <col min="2" max="2" width="26.5" customWidth="1"/>
    <col min="4" max="4" width="13.83203125" bestFit="1" customWidth="1"/>
    <col min="5" max="5" width="31.83203125" bestFit="1" customWidth="1"/>
    <col min="6" max="6" width="14.33203125" bestFit="1" customWidth="1"/>
    <col min="7" max="7" width="26.1640625" bestFit="1" customWidth="1"/>
    <col min="8" max="8" width="12.6640625" bestFit="1" customWidth="1"/>
    <col min="9" max="9" width="13.1640625" bestFit="1" customWidth="1"/>
    <col min="10" max="10" width="12" bestFit="1" customWidth="1"/>
    <col min="11" max="11" width="23.5" bestFit="1" customWidth="1"/>
    <col min="12" max="12" width="15" bestFit="1" customWidth="1"/>
    <col min="13" max="13" width="16.6640625" bestFit="1" customWidth="1"/>
    <col min="14" max="14" width="14.6640625" bestFit="1" customWidth="1"/>
    <col min="15" max="15" width="25.33203125" bestFit="1" customWidth="1"/>
    <col min="16" max="16" width="17" bestFit="1" customWidth="1"/>
    <col min="17" max="17" width="10.6640625" bestFit="1" customWidth="1"/>
    <col min="18" max="18" width="14.6640625" bestFit="1" customWidth="1"/>
    <col min="20" max="20" width="13.1640625" bestFit="1" customWidth="1"/>
    <col min="21" max="21" width="35.33203125" bestFit="1" customWidth="1"/>
    <col min="22" max="22" width="14.33203125" bestFit="1" customWidth="1"/>
    <col min="23" max="23" width="26.1640625" bestFit="1" customWidth="1"/>
    <col min="24" max="24" width="12.6640625" bestFit="1" customWidth="1"/>
    <col min="25" max="25" width="13.1640625" bestFit="1" customWidth="1"/>
    <col min="26" max="26" width="12" bestFit="1" customWidth="1"/>
    <col min="27" max="27" width="49.83203125" bestFit="1" customWidth="1"/>
    <col min="28" max="28" width="34" bestFit="1" customWidth="1"/>
    <col min="29" max="29" width="16.6640625" bestFit="1" customWidth="1"/>
    <col min="30" max="30" width="14.6640625" bestFit="1" customWidth="1"/>
    <col min="31" max="31" width="25.33203125" bestFit="1" customWidth="1"/>
    <col min="32" max="32" width="17" bestFit="1" customWidth="1"/>
    <col min="33" max="33" width="10.6640625" bestFit="1" customWidth="1"/>
    <col min="34" max="34" width="14.6640625" bestFit="1" customWidth="1"/>
    <col min="36" max="36" width="17" bestFit="1" customWidth="1"/>
    <col min="37" max="37" width="43.83203125" bestFit="1" customWidth="1"/>
    <col min="38" max="38" width="14.33203125" bestFit="1" customWidth="1"/>
    <col min="39" max="39" width="26.1640625" bestFit="1" customWidth="1"/>
    <col min="40" max="40" width="12.6640625" bestFit="1" customWidth="1"/>
    <col min="41" max="41" width="13.1640625" bestFit="1" customWidth="1"/>
    <col min="42" max="42" width="12" bestFit="1" customWidth="1"/>
    <col min="43" max="43" width="33" bestFit="1" customWidth="1"/>
    <col min="44" max="44" width="21" bestFit="1" customWidth="1"/>
    <col min="45" max="45" width="16.6640625" bestFit="1" customWidth="1"/>
    <col min="46" max="46" width="14.6640625" bestFit="1" customWidth="1"/>
    <col min="47" max="47" width="25.33203125" bestFit="1" customWidth="1"/>
    <col min="48" max="48" width="17" bestFit="1" customWidth="1"/>
    <col min="49" max="49" width="10.6640625" bestFit="1" customWidth="1"/>
    <col min="50" max="50" width="14.6640625" bestFit="1" customWidth="1"/>
    <col min="52" max="52" width="12.83203125" bestFit="1" customWidth="1"/>
    <col min="53" max="53" width="30" bestFit="1" customWidth="1"/>
    <col min="54" max="54" width="14.33203125" bestFit="1" customWidth="1"/>
    <col min="55" max="55" width="26.1640625" bestFit="1" customWidth="1"/>
    <col min="56" max="56" width="12.6640625" bestFit="1" customWidth="1"/>
    <col min="57" max="57" width="13.1640625" bestFit="1" customWidth="1"/>
    <col min="58" max="58" width="12" bestFit="1" customWidth="1"/>
    <col min="59" max="59" width="21.83203125" bestFit="1" customWidth="1"/>
    <col min="60" max="60" width="15" bestFit="1" customWidth="1"/>
    <col min="61" max="61" width="16.6640625" bestFit="1" customWidth="1"/>
    <col min="62" max="62" width="14.6640625" bestFit="1" customWidth="1"/>
    <col min="63" max="63" width="25.33203125" bestFit="1" customWidth="1"/>
    <col min="64" max="64" width="17" bestFit="1" customWidth="1"/>
    <col min="65" max="65" width="10.6640625" bestFit="1" customWidth="1"/>
    <col min="66" max="66" width="14.6640625" bestFit="1" customWidth="1"/>
  </cols>
  <sheetData>
    <row r="1" spans="1:66" ht="17" thickBot="1" x14ac:dyDescent="0.25">
      <c r="A1" t="s">
        <v>32</v>
      </c>
      <c r="B1" t="s">
        <v>52</v>
      </c>
      <c r="D1" s="9" t="s">
        <v>0</v>
      </c>
      <c r="E1" s="9" t="s">
        <v>32</v>
      </c>
      <c r="F1" s="10" t="s">
        <v>1</v>
      </c>
      <c r="G1" s="10" t="s">
        <v>31</v>
      </c>
      <c r="H1" s="10" t="s">
        <v>2</v>
      </c>
      <c r="I1" s="10" t="s">
        <v>3</v>
      </c>
      <c r="J1" s="10" t="s">
        <v>4</v>
      </c>
      <c r="K1" s="10" t="s">
        <v>5</v>
      </c>
      <c r="L1" s="10" t="s">
        <v>6</v>
      </c>
      <c r="M1" s="10" t="s">
        <v>7</v>
      </c>
      <c r="N1" s="10" t="s">
        <v>8</v>
      </c>
      <c r="O1" s="10" t="s">
        <v>9</v>
      </c>
      <c r="P1" s="10" t="s">
        <v>10</v>
      </c>
      <c r="Q1" s="11" t="s">
        <v>30</v>
      </c>
      <c r="R1" s="10" t="s">
        <v>48</v>
      </c>
      <c r="T1" s="26" t="s">
        <v>0</v>
      </c>
      <c r="U1" s="31" t="s">
        <v>32</v>
      </c>
      <c r="V1" s="31" t="s">
        <v>1</v>
      </c>
      <c r="W1" s="31" t="s">
        <v>31</v>
      </c>
      <c r="X1" s="31" t="s">
        <v>2</v>
      </c>
      <c r="Y1" s="31" t="s">
        <v>3</v>
      </c>
      <c r="Z1" s="31" t="s">
        <v>4</v>
      </c>
      <c r="AA1" s="31" t="s">
        <v>5</v>
      </c>
      <c r="AB1" s="31" t="s">
        <v>6</v>
      </c>
      <c r="AC1" s="31" t="s">
        <v>7</v>
      </c>
      <c r="AD1" s="31" t="s">
        <v>8</v>
      </c>
      <c r="AE1" s="31" t="s">
        <v>9</v>
      </c>
      <c r="AF1" s="31" t="s">
        <v>10</v>
      </c>
      <c r="AG1" s="31" t="s">
        <v>30</v>
      </c>
      <c r="AH1" s="11" t="s">
        <v>48</v>
      </c>
      <c r="AJ1" s="29" t="s">
        <v>0</v>
      </c>
      <c r="AK1" s="30" t="s">
        <v>32</v>
      </c>
      <c r="AL1" s="30" t="s">
        <v>1</v>
      </c>
      <c r="AM1" s="30" t="s">
        <v>31</v>
      </c>
      <c r="AN1" s="30" t="s">
        <v>2</v>
      </c>
      <c r="AO1" s="30" t="s">
        <v>3</v>
      </c>
      <c r="AP1" s="30" t="s">
        <v>4</v>
      </c>
      <c r="AQ1" s="30" t="s">
        <v>5</v>
      </c>
      <c r="AR1" s="30" t="s">
        <v>6</v>
      </c>
      <c r="AS1" s="30" t="s">
        <v>7</v>
      </c>
      <c r="AT1" s="30" t="s">
        <v>8</v>
      </c>
      <c r="AU1" s="30" t="s">
        <v>9</v>
      </c>
      <c r="AV1" s="30" t="s">
        <v>10</v>
      </c>
      <c r="AW1" s="30" t="s">
        <v>30</v>
      </c>
      <c r="AX1" s="3" t="s">
        <v>48</v>
      </c>
      <c r="AZ1" s="26" t="s">
        <v>0</v>
      </c>
      <c r="BA1" s="31" t="s">
        <v>32</v>
      </c>
      <c r="BB1" s="31" t="s">
        <v>1</v>
      </c>
      <c r="BC1" s="31" t="s">
        <v>31</v>
      </c>
      <c r="BD1" s="31" t="s">
        <v>2</v>
      </c>
      <c r="BE1" s="31" t="s">
        <v>3</v>
      </c>
      <c r="BF1" s="31" t="s">
        <v>4</v>
      </c>
      <c r="BG1" s="31" t="s">
        <v>5</v>
      </c>
      <c r="BH1" s="31" t="s">
        <v>6</v>
      </c>
      <c r="BI1" s="31" t="s">
        <v>7</v>
      </c>
      <c r="BJ1" s="31" t="s">
        <v>8</v>
      </c>
      <c r="BK1" s="31" t="s">
        <v>9</v>
      </c>
      <c r="BL1" s="31" t="s">
        <v>10</v>
      </c>
      <c r="BM1" s="31" t="s">
        <v>30</v>
      </c>
      <c r="BN1" s="11" t="s">
        <v>48</v>
      </c>
    </row>
    <row r="2" spans="1:66" ht="17" thickTop="1" x14ac:dyDescent="0.2">
      <c r="A2" s="1" t="s">
        <v>42</v>
      </c>
      <c r="B2" s="39">
        <f>AVERAGE(Table717[balanced_accuracy_mean])</f>
        <v>0.42617196180339029</v>
      </c>
      <c r="D2" s="8" t="s">
        <v>11</v>
      </c>
      <c r="E2" s="8" t="s">
        <v>33</v>
      </c>
      <c r="F2" s="12" t="s">
        <v>20</v>
      </c>
      <c r="G2" s="12" t="s">
        <v>41</v>
      </c>
      <c r="H2" s="12">
        <v>1618</v>
      </c>
      <c r="I2" s="12">
        <v>206</v>
      </c>
      <c r="J2" s="12">
        <v>2</v>
      </c>
      <c r="K2" s="12" t="s">
        <v>13</v>
      </c>
      <c r="L2" s="12" t="s">
        <v>14</v>
      </c>
      <c r="M2" s="15">
        <v>0.66015365210411603</v>
      </c>
      <c r="N2" s="18">
        <v>0.105292336531909</v>
      </c>
      <c r="O2" s="15">
        <v>0.52727467775039505</v>
      </c>
      <c r="P2" s="15">
        <v>0.52276208318990802</v>
      </c>
      <c r="Q2" s="16">
        <f>1/Table616[[#This Row],[n_classes]]</f>
        <v>0.5</v>
      </c>
      <c r="R2" s="27">
        <v>0</v>
      </c>
      <c r="T2" s="35" t="s">
        <v>21</v>
      </c>
      <c r="U2" s="23" t="s">
        <v>42</v>
      </c>
      <c r="V2" s="23" t="s">
        <v>17</v>
      </c>
      <c r="W2" s="23" t="s">
        <v>51</v>
      </c>
      <c r="X2" s="23">
        <v>1618</v>
      </c>
      <c r="Y2" s="23">
        <v>206</v>
      </c>
      <c r="Z2" s="23">
        <v>4</v>
      </c>
      <c r="AA2" s="23" t="s">
        <v>22</v>
      </c>
      <c r="AB2" s="23" t="s">
        <v>23</v>
      </c>
      <c r="AC2" s="21">
        <v>0.39237799642138199</v>
      </c>
      <c r="AD2" s="36">
        <v>6.6417622743339996E-2</v>
      </c>
      <c r="AE2" s="21">
        <v>0.34600743784042298</v>
      </c>
      <c r="AF2" s="21">
        <v>0.33821618650250601</v>
      </c>
      <c r="AG2" s="21">
        <v>0.25</v>
      </c>
      <c r="AH2" s="38">
        <v>0</v>
      </c>
      <c r="AJ2" s="35" t="s">
        <v>24</v>
      </c>
      <c r="AK2" s="23" t="s">
        <v>43</v>
      </c>
      <c r="AL2" s="23" t="s">
        <v>17</v>
      </c>
      <c r="AM2" s="23" t="s">
        <v>38</v>
      </c>
      <c r="AN2" s="23">
        <v>1618</v>
      </c>
      <c r="AO2" s="23">
        <v>206</v>
      </c>
      <c r="AP2" s="23">
        <v>3</v>
      </c>
      <c r="AQ2" s="23" t="s">
        <v>25</v>
      </c>
      <c r="AR2" s="23" t="s">
        <v>26</v>
      </c>
      <c r="AS2" s="21">
        <v>0.474024385582693</v>
      </c>
      <c r="AT2" s="36">
        <v>6.3241906967112002E-2</v>
      </c>
      <c r="AU2" s="21">
        <v>0.48518171056732601</v>
      </c>
      <c r="AV2" s="21">
        <v>0.466964140097199</v>
      </c>
      <c r="AW2" s="21">
        <v>0.33333333333333331</v>
      </c>
      <c r="AX2" s="38">
        <v>0</v>
      </c>
      <c r="AZ2" s="35" t="s">
        <v>27</v>
      </c>
      <c r="BA2" s="23" t="s">
        <v>44</v>
      </c>
      <c r="BB2" s="23" t="s">
        <v>19</v>
      </c>
      <c r="BC2" s="23" t="s">
        <v>40</v>
      </c>
      <c r="BD2" s="23">
        <v>1618</v>
      </c>
      <c r="BE2" s="23">
        <v>206</v>
      </c>
      <c r="BF2" s="23">
        <v>2</v>
      </c>
      <c r="BG2" s="23" t="s">
        <v>28</v>
      </c>
      <c r="BH2" s="23" t="s">
        <v>29</v>
      </c>
      <c r="BI2" s="21">
        <v>0.800418529985093</v>
      </c>
      <c r="BJ2" s="23">
        <v>5.6845936994475599E-2</v>
      </c>
      <c r="BK2" s="21">
        <v>0.72445507070771498</v>
      </c>
      <c r="BL2" s="21">
        <v>0.74077977016764596</v>
      </c>
      <c r="BM2" s="21">
        <v>0.5</v>
      </c>
      <c r="BN2" s="38">
        <v>0</v>
      </c>
    </row>
    <row r="3" spans="1:66" x14ac:dyDescent="0.2">
      <c r="A3" s="1" t="s">
        <v>43</v>
      </c>
      <c r="B3" s="39">
        <f>AVERAGE(Table818[balanced_accuracy_mean])</f>
        <v>0.55147672394441771</v>
      </c>
      <c r="D3" s="8" t="s">
        <v>11</v>
      </c>
      <c r="E3" s="8" t="s">
        <v>33</v>
      </c>
      <c r="F3" s="12" t="s">
        <v>19</v>
      </c>
      <c r="G3" s="12" t="s">
        <v>40</v>
      </c>
      <c r="H3" s="12">
        <v>1618</v>
      </c>
      <c r="I3" s="12">
        <v>206</v>
      </c>
      <c r="J3" s="12">
        <v>2</v>
      </c>
      <c r="K3" s="12" t="s">
        <v>13</v>
      </c>
      <c r="L3" s="12" t="s">
        <v>14</v>
      </c>
      <c r="M3" s="15">
        <v>0.61997477353514496</v>
      </c>
      <c r="N3" s="14">
        <v>9.9890237040341098E-2</v>
      </c>
      <c r="O3" s="15">
        <v>0.56095113331150204</v>
      </c>
      <c r="P3" s="15">
        <v>0.55796863691364196</v>
      </c>
      <c r="Q3" s="16">
        <f>1/Table616[[#This Row],[n_classes]]</f>
        <v>0.5</v>
      </c>
      <c r="R3" s="27">
        <v>0</v>
      </c>
      <c r="T3" s="35" t="s">
        <v>21</v>
      </c>
      <c r="U3" s="23" t="s">
        <v>42</v>
      </c>
      <c r="V3" s="23" t="s">
        <v>19</v>
      </c>
      <c r="W3" s="23" t="s">
        <v>40</v>
      </c>
      <c r="X3" s="23">
        <v>1618</v>
      </c>
      <c r="Y3" s="23">
        <v>206</v>
      </c>
      <c r="Z3" s="23">
        <v>4</v>
      </c>
      <c r="AA3" s="23" t="s">
        <v>22</v>
      </c>
      <c r="AB3" s="23" t="s">
        <v>23</v>
      </c>
      <c r="AC3" s="21">
        <v>0.43883992314137099</v>
      </c>
      <c r="AD3" s="36">
        <v>5.3995505574256399E-2</v>
      </c>
      <c r="AE3" s="21">
        <v>0.40138932958574802</v>
      </c>
      <c r="AF3" s="21">
        <v>0.39808607188970002</v>
      </c>
      <c r="AG3" s="21">
        <v>0.25</v>
      </c>
      <c r="AH3" s="38">
        <v>0</v>
      </c>
      <c r="AJ3" s="35" t="s">
        <v>24</v>
      </c>
      <c r="AK3" s="23" t="s">
        <v>43</v>
      </c>
      <c r="AL3" s="23" t="s">
        <v>19</v>
      </c>
      <c r="AM3" s="23" t="s">
        <v>40</v>
      </c>
      <c r="AN3" s="23">
        <v>1618</v>
      </c>
      <c r="AO3" s="23">
        <v>206</v>
      </c>
      <c r="AP3" s="23">
        <v>3</v>
      </c>
      <c r="AQ3" s="23" t="s">
        <v>25</v>
      </c>
      <c r="AR3" s="23" t="s">
        <v>26</v>
      </c>
      <c r="AS3" s="21">
        <v>0.49633451821274299</v>
      </c>
      <c r="AT3" s="36">
        <v>5.1446687823887498E-2</v>
      </c>
      <c r="AU3" s="21">
        <v>0.49899361049026902</v>
      </c>
      <c r="AV3" s="21">
        <v>0.50464118373071598</v>
      </c>
      <c r="AW3" s="21">
        <v>0.33333333333333331</v>
      </c>
      <c r="AX3" s="38">
        <v>0</v>
      </c>
      <c r="AZ3" s="35" t="s">
        <v>27</v>
      </c>
      <c r="BA3" s="23" t="s">
        <v>44</v>
      </c>
      <c r="BB3" s="23" t="s">
        <v>16</v>
      </c>
      <c r="BC3" s="23" t="s">
        <v>36</v>
      </c>
      <c r="BD3" s="23">
        <v>1618</v>
      </c>
      <c r="BE3" s="23">
        <v>206</v>
      </c>
      <c r="BF3" s="23">
        <v>2</v>
      </c>
      <c r="BG3" s="23" t="s">
        <v>28</v>
      </c>
      <c r="BH3" s="23" t="s">
        <v>29</v>
      </c>
      <c r="BI3" s="21">
        <v>0.786813438825822</v>
      </c>
      <c r="BJ3" s="36">
        <v>5.4080047031732997E-2</v>
      </c>
      <c r="BK3" s="21">
        <v>0.73758878814847895</v>
      </c>
      <c r="BL3" s="21">
        <v>0.74512754244860402</v>
      </c>
      <c r="BM3" s="21">
        <v>0.5</v>
      </c>
      <c r="BN3" s="38">
        <v>0</v>
      </c>
    </row>
    <row r="4" spans="1:66" x14ac:dyDescent="0.2">
      <c r="A4" s="1" t="s">
        <v>33</v>
      </c>
      <c r="B4" s="40">
        <f>AVERAGE(Table616[balanced_accuracy_mean])</f>
        <v>0.61821832984067826</v>
      </c>
      <c r="D4" s="8" t="s">
        <v>11</v>
      </c>
      <c r="E4" s="8" t="s">
        <v>33</v>
      </c>
      <c r="F4" s="12" t="s">
        <v>18</v>
      </c>
      <c r="G4" s="12" t="s">
        <v>39</v>
      </c>
      <c r="H4" s="12">
        <v>1618</v>
      </c>
      <c r="I4" s="12">
        <v>206</v>
      </c>
      <c r="J4" s="12">
        <v>2</v>
      </c>
      <c r="K4" s="12" t="s">
        <v>13</v>
      </c>
      <c r="L4" s="12" t="s">
        <v>14</v>
      </c>
      <c r="M4" s="15">
        <v>0.67317203684592697</v>
      </c>
      <c r="N4" s="18">
        <v>0.13743133133362201</v>
      </c>
      <c r="O4" s="15">
        <v>0.59407242140559602</v>
      </c>
      <c r="P4" s="15">
        <v>0.60234304846693698</v>
      </c>
      <c r="Q4" s="16">
        <f>1/Table616[[#This Row],[n_classes]]</f>
        <v>0.5</v>
      </c>
      <c r="R4" s="27">
        <v>0</v>
      </c>
      <c r="T4" s="35" t="s">
        <v>21</v>
      </c>
      <c r="U4" s="23" t="s">
        <v>42</v>
      </c>
      <c r="V4" s="23" t="s">
        <v>20</v>
      </c>
      <c r="W4" s="23" t="s">
        <v>41</v>
      </c>
      <c r="X4" s="23">
        <v>1618</v>
      </c>
      <c r="Y4" s="23">
        <v>206</v>
      </c>
      <c r="Z4" s="23">
        <v>4</v>
      </c>
      <c r="AA4" s="23" t="s">
        <v>22</v>
      </c>
      <c r="AB4" s="23" t="s">
        <v>23</v>
      </c>
      <c r="AC4" s="21">
        <v>0.52356447763176395</v>
      </c>
      <c r="AD4" s="23">
        <v>3.6909423797048299E-2</v>
      </c>
      <c r="AE4" s="21">
        <v>0.42738905927207199</v>
      </c>
      <c r="AF4" s="21">
        <v>0.377369354154938</v>
      </c>
      <c r="AG4" s="21">
        <v>0.25</v>
      </c>
      <c r="AH4" s="38">
        <v>0</v>
      </c>
      <c r="AJ4" s="35" t="s">
        <v>24</v>
      </c>
      <c r="AK4" s="23" t="s">
        <v>43</v>
      </c>
      <c r="AL4" s="23" t="s">
        <v>18</v>
      </c>
      <c r="AM4" s="23" t="s">
        <v>39</v>
      </c>
      <c r="AN4" s="23">
        <v>1618</v>
      </c>
      <c r="AO4" s="23">
        <v>206</v>
      </c>
      <c r="AP4" s="23">
        <v>3</v>
      </c>
      <c r="AQ4" s="23" t="s">
        <v>25</v>
      </c>
      <c r="AR4" s="23" t="s">
        <v>26</v>
      </c>
      <c r="AS4" s="21">
        <v>0.55253984634789499</v>
      </c>
      <c r="AT4" s="23">
        <v>3.7416395426691201E-2</v>
      </c>
      <c r="AU4" s="21">
        <v>0.55403442293585503</v>
      </c>
      <c r="AV4" s="21">
        <v>0.55822580977011804</v>
      </c>
      <c r="AW4" s="21">
        <v>0.33333333333333331</v>
      </c>
      <c r="AX4" s="38">
        <v>0</v>
      </c>
      <c r="AZ4" s="35" t="s">
        <v>27</v>
      </c>
      <c r="BA4" s="23" t="s">
        <v>44</v>
      </c>
      <c r="BB4" s="23" t="s">
        <v>17</v>
      </c>
      <c r="BC4" s="23" t="s">
        <v>38</v>
      </c>
      <c r="BD4" s="23">
        <v>1618</v>
      </c>
      <c r="BE4" s="23">
        <v>206</v>
      </c>
      <c r="BF4" s="23">
        <v>2</v>
      </c>
      <c r="BG4" s="23" t="s">
        <v>28</v>
      </c>
      <c r="BH4" s="23" t="s">
        <v>29</v>
      </c>
      <c r="BI4" s="21">
        <v>0.79237854986048994</v>
      </c>
      <c r="BJ4" s="36">
        <v>6.7867442780557799E-2</v>
      </c>
      <c r="BK4" s="21">
        <v>0.74830879405952799</v>
      </c>
      <c r="BL4" s="21">
        <v>0.74993721041939598</v>
      </c>
      <c r="BM4" s="21">
        <v>0.5</v>
      </c>
      <c r="BN4" s="38">
        <v>0</v>
      </c>
    </row>
    <row r="5" spans="1:66" x14ac:dyDescent="0.2">
      <c r="A5" s="2" t="s">
        <v>44</v>
      </c>
      <c r="B5" s="40">
        <f>AVERAGE(Table1019[balanced_accuracy_mean])</f>
        <v>0.75405473640341769</v>
      </c>
      <c r="D5" s="8" t="s">
        <v>11</v>
      </c>
      <c r="E5" s="8" t="s">
        <v>33</v>
      </c>
      <c r="F5" s="12" t="s">
        <v>17</v>
      </c>
      <c r="G5" s="12" t="s">
        <v>38</v>
      </c>
      <c r="H5" s="12">
        <v>1618</v>
      </c>
      <c r="I5" s="12">
        <v>206</v>
      </c>
      <c r="J5" s="12">
        <v>2</v>
      </c>
      <c r="K5" s="12" t="s">
        <v>13</v>
      </c>
      <c r="L5" s="12" t="s">
        <v>14</v>
      </c>
      <c r="M5" s="15">
        <v>0.55391010205251601</v>
      </c>
      <c r="N5" s="18">
        <v>0.120158331311592</v>
      </c>
      <c r="O5" s="13">
        <v>0.63461141862729398</v>
      </c>
      <c r="P5" s="15">
        <v>0.55137596337485495</v>
      </c>
      <c r="Q5" s="16">
        <f>1/Table616[[#This Row],[n_classes]]</f>
        <v>0.5</v>
      </c>
      <c r="R5" s="27">
        <v>0</v>
      </c>
      <c r="T5" s="35" t="s">
        <v>21</v>
      </c>
      <c r="U5" s="23" t="s">
        <v>42</v>
      </c>
      <c r="V5" s="23" t="s">
        <v>18</v>
      </c>
      <c r="W5" s="23" t="s">
        <v>50</v>
      </c>
      <c r="X5" s="23">
        <v>1618</v>
      </c>
      <c r="Y5" s="23">
        <v>206</v>
      </c>
      <c r="Z5" s="23">
        <v>4</v>
      </c>
      <c r="AA5" s="23" t="s">
        <v>22</v>
      </c>
      <c r="AB5" s="23" t="s">
        <v>23</v>
      </c>
      <c r="AC5" s="21">
        <v>0.51805798534978298</v>
      </c>
      <c r="AD5" s="36">
        <v>5.2789359447513201E-2</v>
      </c>
      <c r="AE5" s="21">
        <v>0.43275156795208303</v>
      </c>
      <c r="AF5" s="21">
        <v>0.40462465246836699</v>
      </c>
      <c r="AG5" s="21">
        <v>0.25</v>
      </c>
      <c r="AH5" s="38">
        <v>0</v>
      </c>
      <c r="AJ5" s="35" t="s">
        <v>24</v>
      </c>
      <c r="AK5" s="23" t="s">
        <v>43</v>
      </c>
      <c r="AL5" s="23" t="s">
        <v>20</v>
      </c>
      <c r="AM5" s="23" t="s">
        <v>41</v>
      </c>
      <c r="AN5" s="23">
        <v>1618</v>
      </c>
      <c r="AO5" s="23">
        <v>206</v>
      </c>
      <c r="AP5" s="23">
        <v>3</v>
      </c>
      <c r="AQ5" s="23" t="s">
        <v>25</v>
      </c>
      <c r="AR5" s="23" t="s">
        <v>26</v>
      </c>
      <c r="AS5" s="21">
        <v>0.56614302641134395</v>
      </c>
      <c r="AT5" s="36">
        <v>4.9036621745931902E-2</v>
      </c>
      <c r="AU5" s="21">
        <v>0.56339272499384196</v>
      </c>
      <c r="AV5" s="21">
        <v>0.56559590141132698</v>
      </c>
      <c r="AW5" s="21">
        <v>0.33333333333333331</v>
      </c>
      <c r="AX5" s="38">
        <v>0</v>
      </c>
      <c r="AZ5" s="35" t="s">
        <v>27</v>
      </c>
      <c r="BA5" s="23" t="s">
        <v>44</v>
      </c>
      <c r="BB5" s="23" t="s">
        <v>12</v>
      </c>
      <c r="BC5" s="23" t="s">
        <v>37</v>
      </c>
      <c r="BD5" s="23">
        <v>1618</v>
      </c>
      <c r="BE5" s="23">
        <v>206</v>
      </c>
      <c r="BF5" s="23">
        <v>2</v>
      </c>
      <c r="BG5" s="23" t="s">
        <v>28</v>
      </c>
      <c r="BH5" s="23" t="s">
        <v>29</v>
      </c>
      <c r="BI5" s="21">
        <v>0.80040706341015899</v>
      </c>
      <c r="BJ5" s="36">
        <v>5.6035353903200698E-2</v>
      </c>
      <c r="BK5" s="21">
        <v>0.75555353129440495</v>
      </c>
      <c r="BL5" s="21">
        <v>0.76284113302622103</v>
      </c>
      <c r="BM5" s="21">
        <v>0.5</v>
      </c>
      <c r="BN5" s="38">
        <v>0</v>
      </c>
    </row>
    <row r="6" spans="1:66" x14ac:dyDescent="0.2">
      <c r="D6" s="8" t="s">
        <v>11</v>
      </c>
      <c r="E6" s="8" t="s">
        <v>33</v>
      </c>
      <c r="F6" s="12" t="s">
        <v>16</v>
      </c>
      <c r="G6" s="12" t="s">
        <v>36</v>
      </c>
      <c r="H6" s="12">
        <v>1618</v>
      </c>
      <c r="I6" s="12">
        <v>206</v>
      </c>
      <c r="J6" s="12">
        <v>2</v>
      </c>
      <c r="K6" s="12" t="s">
        <v>13</v>
      </c>
      <c r="L6" s="12" t="s">
        <v>14</v>
      </c>
      <c r="M6" s="15">
        <v>0.702774911134044</v>
      </c>
      <c r="N6" s="14">
        <v>6.0560773455026001E-2</v>
      </c>
      <c r="O6" s="15">
        <v>0.66079154974212795</v>
      </c>
      <c r="P6" s="15">
        <v>0.65547093403319201</v>
      </c>
      <c r="Q6" s="16">
        <f>1/Table616[[#This Row],[n_classes]]</f>
        <v>0.5</v>
      </c>
      <c r="R6" s="27">
        <v>0</v>
      </c>
      <c r="T6" s="35" t="s">
        <v>21</v>
      </c>
      <c r="U6" s="23" t="s">
        <v>42</v>
      </c>
      <c r="V6" s="23" t="s">
        <v>16</v>
      </c>
      <c r="W6" s="23" t="s">
        <v>36</v>
      </c>
      <c r="X6" s="23">
        <v>1618</v>
      </c>
      <c r="Y6" s="23">
        <v>206</v>
      </c>
      <c r="Z6" s="23">
        <v>4</v>
      </c>
      <c r="AA6" s="23" t="s">
        <v>22</v>
      </c>
      <c r="AB6" s="23" t="s">
        <v>23</v>
      </c>
      <c r="AC6" s="21">
        <v>0.48875457036082598</v>
      </c>
      <c r="AD6" s="36">
        <v>6.1628216396525597E-2</v>
      </c>
      <c r="AE6" s="21">
        <v>0.44647137940092102</v>
      </c>
      <c r="AF6" s="21">
        <v>0.44383701982738799</v>
      </c>
      <c r="AG6" s="21">
        <v>0.25</v>
      </c>
      <c r="AH6" s="38">
        <v>0</v>
      </c>
      <c r="AJ6" s="35" t="s">
        <v>24</v>
      </c>
      <c r="AK6" s="23" t="s">
        <v>43</v>
      </c>
      <c r="AL6" s="23" t="s">
        <v>16</v>
      </c>
      <c r="AM6" s="23" t="s">
        <v>36</v>
      </c>
      <c r="AN6" s="23">
        <v>1618</v>
      </c>
      <c r="AO6" s="23">
        <v>206</v>
      </c>
      <c r="AP6" s="23">
        <v>3</v>
      </c>
      <c r="AQ6" s="23" t="s">
        <v>25</v>
      </c>
      <c r="AR6" s="23" t="s">
        <v>26</v>
      </c>
      <c r="AS6" s="21">
        <v>0.56370064595038705</v>
      </c>
      <c r="AT6" s="36">
        <v>7.0711539899786693E-2</v>
      </c>
      <c r="AU6" s="21">
        <v>0.56600412465205296</v>
      </c>
      <c r="AV6" s="21">
        <v>0.56274194457495597</v>
      </c>
      <c r="AW6" s="21">
        <v>0.33333333333333331</v>
      </c>
      <c r="AX6" s="38">
        <v>0</v>
      </c>
      <c r="AZ6" s="35" t="s">
        <v>27</v>
      </c>
      <c r="BA6" s="23" t="s">
        <v>44</v>
      </c>
      <c r="BB6" s="23" t="s">
        <v>15</v>
      </c>
      <c r="BC6" s="23" t="s">
        <v>35</v>
      </c>
      <c r="BD6" s="23">
        <v>1618</v>
      </c>
      <c r="BE6" s="23">
        <v>206</v>
      </c>
      <c r="BF6" s="23">
        <v>2</v>
      </c>
      <c r="BG6" s="23" t="s">
        <v>28</v>
      </c>
      <c r="BH6" s="23" t="s">
        <v>29</v>
      </c>
      <c r="BI6" s="21">
        <v>0.81091617933723104</v>
      </c>
      <c r="BJ6" s="36">
        <v>5.7729096292023503E-2</v>
      </c>
      <c r="BK6" s="21">
        <v>0.76027707711460102</v>
      </c>
      <c r="BL6" s="21">
        <v>0.77041460741390499</v>
      </c>
      <c r="BM6" s="21">
        <v>0.5</v>
      </c>
      <c r="BN6" s="38">
        <v>0</v>
      </c>
    </row>
    <row r="7" spans="1:66" x14ac:dyDescent="0.2">
      <c r="D7" s="19" t="s">
        <v>11</v>
      </c>
      <c r="E7" s="19" t="s">
        <v>33</v>
      </c>
      <c r="F7" s="17" t="s">
        <v>15</v>
      </c>
      <c r="G7" s="17" t="s">
        <v>35</v>
      </c>
      <c r="H7" s="17">
        <v>1618</v>
      </c>
      <c r="I7" s="17">
        <v>206</v>
      </c>
      <c r="J7" s="17">
        <v>2</v>
      </c>
      <c r="K7" s="17" t="s">
        <v>13</v>
      </c>
      <c r="L7" s="17" t="s">
        <v>14</v>
      </c>
      <c r="M7" s="20">
        <v>0.71329549363605005</v>
      </c>
      <c r="N7" s="24">
        <v>7.7252774275626504E-2</v>
      </c>
      <c r="O7" s="20">
        <v>0.66886235312724296</v>
      </c>
      <c r="P7" s="20">
        <v>0.66418586317788497</v>
      </c>
      <c r="Q7" s="21">
        <f>1/Table616[[#This Row],[n_classes]]</f>
        <v>0.5</v>
      </c>
      <c r="R7" s="27">
        <v>0</v>
      </c>
      <c r="T7" s="37" t="s">
        <v>21</v>
      </c>
      <c r="U7" s="22" t="s">
        <v>42</v>
      </c>
      <c r="V7" s="22" t="s">
        <v>12</v>
      </c>
      <c r="W7" s="22" t="s">
        <v>37</v>
      </c>
      <c r="X7" s="22">
        <v>1618</v>
      </c>
      <c r="Y7" s="22">
        <v>206</v>
      </c>
      <c r="Z7" s="22">
        <v>4</v>
      </c>
      <c r="AA7" s="22" t="s">
        <v>22</v>
      </c>
      <c r="AB7" s="22" t="s">
        <v>23</v>
      </c>
      <c r="AC7" s="16">
        <v>0.51013041423493199</v>
      </c>
      <c r="AD7" s="38">
        <v>6.8048614536495702E-2</v>
      </c>
      <c r="AE7" s="16">
        <v>0.46321433535467899</v>
      </c>
      <c r="AF7" s="16">
        <v>0.45836713923492201</v>
      </c>
      <c r="AG7" s="16">
        <v>0.25</v>
      </c>
      <c r="AH7" s="38">
        <v>0</v>
      </c>
      <c r="AJ7" s="37" t="s">
        <v>24</v>
      </c>
      <c r="AK7" s="23" t="s">
        <v>43</v>
      </c>
      <c r="AL7" s="22" t="s">
        <v>12</v>
      </c>
      <c r="AM7" s="22" t="s">
        <v>37</v>
      </c>
      <c r="AN7" s="22">
        <v>1618</v>
      </c>
      <c r="AO7" s="22">
        <v>206</v>
      </c>
      <c r="AP7" s="22">
        <v>3</v>
      </c>
      <c r="AQ7" s="22" t="s">
        <v>25</v>
      </c>
      <c r="AR7" s="22" t="s">
        <v>26</v>
      </c>
      <c r="AS7" s="16">
        <v>0.59459924320605395</v>
      </c>
      <c r="AT7" s="22">
        <v>5.91861628504139E-2</v>
      </c>
      <c r="AU7" s="16">
        <v>0.59603293290926296</v>
      </c>
      <c r="AV7" s="16">
        <v>0.596155207737191</v>
      </c>
      <c r="AW7" s="16">
        <v>0.33333333333333331</v>
      </c>
      <c r="AX7" s="38">
        <v>0</v>
      </c>
      <c r="AZ7" s="35" t="s">
        <v>27</v>
      </c>
      <c r="BA7" s="22" t="s">
        <v>44</v>
      </c>
      <c r="BB7" s="23" t="s">
        <v>18</v>
      </c>
      <c r="BC7" s="22" t="s">
        <v>39</v>
      </c>
      <c r="BD7" s="23">
        <v>1618</v>
      </c>
      <c r="BE7" s="23">
        <v>206</v>
      </c>
      <c r="BF7" s="23">
        <v>2</v>
      </c>
      <c r="BG7" s="23" t="s">
        <v>28</v>
      </c>
      <c r="BH7" s="23" t="s">
        <v>29</v>
      </c>
      <c r="BI7" s="21">
        <v>0.833780529755761</v>
      </c>
      <c r="BJ7" s="36">
        <v>7.1516343117552006E-2</v>
      </c>
      <c r="BK7" s="21">
        <v>0.76782466220649703</v>
      </c>
      <c r="BL7" s="21">
        <v>0.78577062889945104</v>
      </c>
      <c r="BM7" s="21">
        <v>0.5</v>
      </c>
      <c r="BN7" s="38">
        <v>0</v>
      </c>
    </row>
    <row r="8" spans="1:66" x14ac:dyDescent="0.2">
      <c r="D8" s="19" t="s">
        <v>11</v>
      </c>
      <c r="E8" s="19" t="s">
        <v>33</v>
      </c>
      <c r="F8" s="17" t="s">
        <v>12</v>
      </c>
      <c r="G8" s="17" t="s">
        <v>37</v>
      </c>
      <c r="H8" s="17">
        <v>1618</v>
      </c>
      <c r="I8" s="17">
        <v>206</v>
      </c>
      <c r="J8" s="17">
        <v>2</v>
      </c>
      <c r="K8" s="17" t="s">
        <v>13</v>
      </c>
      <c r="L8" s="17" t="s">
        <v>14</v>
      </c>
      <c r="M8" s="21">
        <v>0.70587470855788703</v>
      </c>
      <c r="N8" s="24">
        <v>8.1253599867057394E-2</v>
      </c>
      <c r="O8" s="28">
        <v>0.68096475492059005</v>
      </c>
      <c r="P8" s="28">
        <v>0.66823070364772896</v>
      </c>
      <c r="Q8" s="21">
        <f>1/Table616[[#This Row],[n_classes]]</f>
        <v>0.5</v>
      </c>
      <c r="R8" s="24">
        <v>0</v>
      </c>
      <c r="T8" s="19" t="s">
        <v>21</v>
      </c>
      <c r="U8" s="17" t="s">
        <v>42</v>
      </c>
      <c r="V8" s="17" t="s">
        <v>15</v>
      </c>
      <c r="W8" s="17" t="s">
        <v>49</v>
      </c>
      <c r="X8" s="17">
        <v>1618</v>
      </c>
      <c r="Y8" s="17">
        <v>206</v>
      </c>
      <c r="Z8" s="17">
        <v>4</v>
      </c>
      <c r="AA8" s="17" t="s">
        <v>22</v>
      </c>
      <c r="AB8" s="17" t="s">
        <v>23</v>
      </c>
      <c r="AC8" s="21">
        <v>0.51545239457842695</v>
      </c>
      <c r="AD8" s="24">
        <v>6.5806883023499005E-2</v>
      </c>
      <c r="AE8" s="21">
        <v>0.46598062321780598</v>
      </c>
      <c r="AF8" s="21">
        <v>0.46040496674883702</v>
      </c>
      <c r="AG8" s="21">
        <v>0.25</v>
      </c>
      <c r="AH8" s="36">
        <v>0</v>
      </c>
      <c r="AJ8" s="8" t="s">
        <v>24</v>
      </c>
      <c r="AK8" s="17" t="s">
        <v>43</v>
      </c>
      <c r="AL8" s="12" t="s">
        <v>15</v>
      </c>
      <c r="AM8" s="12" t="s">
        <v>49</v>
      </c>
      <c r="AN8" s="12">
        <v>1618</v>
      </c>
      <c r="AO8" s="12">
        <v>206</v>
      </c>
      <c r="AP8" s="12">
        <v>3</v>
      </c>
      <c r="AQ8" s="22" t="s">
        <v>25</v>
      </c>
      <c r="AR8" s="12" t="s">
        <v>26</v>
      </c>
      <c r="AS8" s="16">
        <v>0.59583190001146602</v>
      </c>
      <c r="AT8" s="14">
        <v>5.6455840800081501E-2</v>
      </c>
      <c r="AU8" s="16">
        <v>0.59669754106231598</v>
      </c>
      <c r="AV8" s="16">
        <v>0.59716870716770198</v>
      </c>
      <c r="AW8" s="16">
        <v>0.33333333333333331</v>
      </c>
      <c r="AX8" s="38">
        <v>0</v>
      </c>
      <c r="AZ8" s="19" t="s">
        <v>27</v>
      </c>
      <c r="BA8" s="12" t="s">
        <v>44</v>
      </c>
      <c r="BB8" s="12" t="s">
        <v>20</v>
      </c>
      <c r="BC8" s="12" t="s">
        <v>41</v>
      </c>
      <c r="BD8" s="12">
        <v>1618</v>
      </c>
      <c r="BE8" s="12">
        <v>206</v>
      </c>
      <c r="BF8" s="12">
        <v>2</v>
      </c>
      <c r="BG8" s="17" t="s">
        <v>28</v>
      </c>
      <c r="BH8" s="17" t="s">
        <v>29</v>
      </c>
      <c r="BI8" s="13">
        <v>0.84180139892214201</v>
      </c>
      <c r="BJ8" s="14">
        <v>8.2613734032347896E-2</v>
      </c>
      <c r="BK8" s="13">
        <v>0.78437523129269904</v>
      </c>
      <c r="BL8" s="13">
        <v>0.79862896778877202</v>
      </c>
      <c r="BM8" s="13">
        <v>0.5</v>
      </c>
      <c r="BN8" s="38">
        <v>0</v>
      </c>
    </row>
    <row r="9" spans="1:66" x14ac:dyDescent="0.2">
      <c r="D9" s="19"/>
      <c r="E9" s="19"/>
      <c r="F9" s="17"/>
      <c r="G9" s="17"/>
      <c r="H9" s="17"/>
      <c r="I9" s="17"/>
      <c r="J9" s="17"/>
      <c r="K9" s="17"/>
      <c r="L9" s="17"/>
      <c r="M9" s="25">
        <f>AVERAGE(Table616[accuracy_mean])</f>
        <v>0.6613079539808121</v>
      </c>
      <c r="N9" s="24">
        <f>AVERAGE(Table616[accuracy_std])</f>
        <v>9.7405626259310568E-2</v>
      </c>
      <c r="O9" s="25">
        <f>AVERAGE(Table616[balanced_accuracy_mean])</f>
        <v>0.61821832984067826</v>
      </c>
      <c r="P9" s="25">
        <f>AVERAGE(Table616[macro_f1_mean])</f>
        <v>0.60319103325773538</v>
      </c>
      <c r="Q9" s="25"/>
      <c r="R9" s="24"/>
      <c r="T9" s="35"/>
      <c r="U9" s="23"/>
      <c r="V9" s="23"/>
      <c r="W9" s="23"/>
      <c r="X9" s="23"/>
      <c r="Y9" s="23"/>
      <c r="Z9" s="23"/>
      <c r="AA9" s="23"/>
      <c r="AB9" s="23"/>
      <c r="AC9" s="21">
        <f>AVERAGE(Table717[accuracy_mean])</f>
        <v>0.48388253738835496</v>
      </c>
      <c r="AD9" s="36">
        <f>AVERAGE(Table717[accuracy_std])</f>
        <v>5.7942232216954027E-2</v>
      </c>
      <c r="AE9" s="21">
        <f>AVERAGE(Table717[balanced_accuracy_mean])</f>
        <v>0.42617196180339029</v>
      </c>
      <c r="AF9" s="21">
        <f>AVERAGE(Table717[macro_f1_mean])</f>
        <v>0.41155791297523692</v>
      </c>
      <c r="AG9" s="21"/>
      <c r="AH9" s="36"/>
      <c r="AJ9" s="35"/>
      <c r="AK9" s="23"/>
      <c r="AL9" s="23"/>
      <c r="AM9" s="23"/>
      <c r="AN9" s="23"/>
      <c r="AO9" s="23"/>
      <c r="AP9" s="23"/>
      <c r="AQ9" s="23"/>
      <c r="AR9" s="23"/>
      <c r="AS9" s="21">
        <f>AVERAGE(Table818[accuracy_mean])</f>
        <v>0.54902479510322599</v>
      </c>
      <c r="AT9" s="36">
        <f>AVERAGE(Table818[accuracy_std])</f>
        <v>5.535645078770067E-2</v>
      </c>
      <c r="AU9" s="21">
        <f>AVERAGE(Table818[balanced_accuracy_mean])</f>
        <v>0.55147672394441771</v>
      </c>
      <c r="AV9" s="21">
        <f>AVERAGE(Table818[macro_f1_mean])</f>
        <v>0.55021327064131553</v>
      </c>
      <c r="AW9" s="21"/>
      <c r="AX9" s="36"/>
      <c r="AZ9" s="35"/>
      <c r="BA9" s="23"/>
      <c r="BB9" s="23"/>
      <c r="BC9" s="23"/>
      <c r="BD9" s="23"/>
      <c r="BE9" s="23"/>
      <c r="BF9" s="23"/>
      <c r="BG9" s="23"/>
      <c r="BH9" s="23"/>
      <c r="BI9" s="21">
        <f>AVERAGE(Table1019[accuracy_mean])</f>
        <v>0.80950224144238536</v>
      </c>
      <c r="BJ9" s="36">
        <f>AVERAGE(Table1019[accuracy_std])</f>
        <v>6.3812564878841502E-2</v>
      </c>
      <c r="BK9" s="21">
        <f>AVERAGE(Table1019[balanced_accuracy_mean])</f>
        <v>0.75405473640341769</v>
      </c>
      <c r="BL9" s="21">
        <f>AVERAGE(Table1019[macro_f1_mean])</f>
        <v>0.76478569430914223</v>
      </c>
      <c r="BM9" s="21"/>
      <c r="BN9" s="36"/>
    </row>
  </sheetData>
  <pageMargins left="0.7" right="0.7" top="0.75" bottom="0.75" header="0.3" footer="0.3"/>
  <drawing r:id="rId1"/>
  <tableParts count="5">
    <tablePart r:id="rId2"/>
    <tablePart r:id="rId3"/>
    <tablePart r:id="rId4"/>
    <tablePart r:id="rId5"/>
    <tablePart r:id="rId6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8C14D-CCAE-C34E-AD8D-71A8043D38AF}">
  <dimension ref="A1:BL5"/>
  <sheetViews>
    <sheetView tabSelected="1" topLeftCell="B1" workbookViewId="0">
      <selection activeCell="D35" sqref="D35"/>
    </sheetView>
  </sheetViews>
  <sheetFormatPr baseColWidth="10" defaultRowHeight="16" x14ac:dyDescent="0.2"/>
  <cols>
    <col min="1" max="1" width="17" bestFit="1" customWidth="1"/>
    <col min="2" max="2" width="43.83203125" bestFit="1" customWidth="1"/>
    <col min="3" max="3" width="14.33203125" bestFit="1" customWidth="1"/>
    <col min="4" max="4" width="26.1640625" bestFit="1" customWidth="1"/>
    <col min="5" max="5" width="19.33203125" bestFit="1" customWidth="1"/>
    <col min="6" max="6" width="12.6640625" bestFit="1" customWidth="1"/>
    <col min="7" max="7" width="13.1640625" bestFit="1" customWidth="1"/>
    <col min="8" max="8" width="12" bestFit="1" customWidth="1"/>
    <col min="9" max="9" width="49.83203125" bestFit="1" customWidth="1"/>
    <col min="10" max="10" width="34" bestFit="1" customWidth="1"/>
    <col min="11" max="11" width="16.6640625" bestFit="1" customWidth="1"/>
    <col min="12" max="12" width="14.6640625" bestFit="1" customWidth="1"/>
    <col min="13" max="13" width="25.33203125" bestFit="1" customWidth="1"/>
    <col min="14" max="14" width="17" bestFit="1" customWidth="1"/>
    <col min="15" max="15" width="10.6640625" bestFit="1" customWidth="1"/>
    <col min="16" max="16" width="14.6640625" bestFit="1" customWidth="1"/>
    <col min="17" max="17" width="21.5" bestFit="1" customWidth="1"/>
    <col min="18" max="18" width="10.33203125" bestFit="1" customWidth="1"/>
    <col min="19" max="19" width="16.33203125" bestFit="1" customWidth="1"/>
    <col min="20" max="20" width="11.83203125" customWidth="1"/>
    <col min="21" max="21" width="17.83203125" bestFit="1" customWidth="1"/>
    <col min="22" max="23" width="27" bestFit="1" customWidth="1"/>
    <col min="24" max="24" width="9.5" bestFit="1" customWidth="1"/>
    <col min="25" max="25" width="12.1640625" bestFit="1" customWidth="1"/>
    <col min="26" max="26" width="12.5" bestFit="1" customWidth="1"/>
    <col min="27" max="27" width="14.1640625" bestFit="1" customWidth="1"/>
    <col min="28" max="28" width="12.1640625" bestFit="1" customWidth="1"/>
    <col min="29" max="29" width="22.83203125" bestFit="1" customWidth="1"/>
    <col min="30" max="30" width="14.5" bestFit="1" customWidth="1"/>
    <col min="31" max="31" width="8.1640625" bestFit="1" customWidth="1"/>
    <col min="32" max="32" width="12.1640625" bestFit="1" customWidth="1"/>
    <col min="34" max="34" width="10.33203125" bestFit="1" customWidth="1"/>
    <col min="35" max="35" width="16.33203125" bestFit="1" customWidth="1"/>
    <col min="36" max="36" width="11.83203125" bestFit="1" customWidth="1"/>
    <col min="37" max="37" width="17.83203125" bestFit="1" customWidth="1"/>
    <col min="38" max="38" width="10.1640625" bestFit="1" customWidth="1"/>
    <col min="39" max="39" width="10.6640625" bestFit="1" customWidth="1"/>
    <col min="40" max="40" width="9.5" bestFit="1" customWidth="1"/>
    <col min="41" max="41" width="12.1640625" bestFit="1" customWidth="1"/>
    <col min="42" max="42" width="12.5" bestFit="1" customWidth="1"/>
    <col min="43" max="43" width="14.1640625" bestFit="1" customWidth="1"/>
    <col min="44" max="44" width="12.1640625" bestFit="1" customWidth="1"/>
    <col min="45" max="45" width="22.83203125" bestFit="1" customWidth="1"/>
    <col min="46" max="46" width="14.5" bestFit="1" customWidth="1"/>
    <col min="47" max="47" width="8.1640625" bestFit="1" customWidth="1"/>
    <col min="48" max="48" width="12.1640625" bestFit="1" customWidth="1"/>
    <col min="50" max="50" width="10.33203125" bestFit="1" customWidth="1"/>
    <col min="51" max="51" width="16.33203125" bestFit="1" customWidth="1"/>
    <col min="52" max="52" width="11.83203125" bestFit="1" customWidth="1"/>
    <col min="53" max="53" width="17.83203125" bestFit="1" customWidth="1"/>
    <col min="54" max="54" width="10.1640625" bestFit="1" customWidth="1"/>
    <col min="55" max="55" width="10.6640625" bestFit="1" customWidth="1"/>
    <col min="56" max="56" width="9.5" bestFit="1" customWidth="1"/>
    <col min="57" max="57" width="12.1640625" bestFit="1" customWidth="1"/>
    <col min="58" max="58" width="12.5" bestFit="1" customWidth="1"/>
    <col min="59" max="59" width="14.1640625" bestFit="1" customWidth="1"/>
    <col min="60" max="60" width="12.1640625" bestFit="1" customWidth="1"/>
    <col min="61" max="61" width="22.83203125" bestFit="1" customWidth="1"/>
    <col min="62" max="62" width="14.5" bestFit="1" customWidth="1"/>
    <col min="63" max="63" width="8.1640625" bestFit="1" customWidth="1"/>
    <col min="64" max="64" width="12.1640625" bestFit="1" customWidth="1"/>
  </cols>
  <sheetData>
    <row r="1" spans="1:64" ht="17" thickBot="1" x14ac:dyDescent="0.25">
      <c r="A1" s="9" t="s">
        <v>0</v>
      </c>
      <c r="B1" s="9" t="s">
        <v>32</v>
      </c>
      <c r="C1" s="10" t="s">
        <v>1</v>
      </c>
      <c r="D1" s="10" t="s">
        <v>31</v>
      </c>
      <c r="E1" s="10" t="s">
        <v>54</v>
      </c>
      <c r="F1" s="10" t="s">
        <v>2</v>
      </c>
      <c r="G1" s="10" t="s">
        <v>3</v>
      </c>
      <c r="H1" s="10" t="s">
        <v>4</v>
      </c>
      <c r="I1" s="10" t="s">
        <v>5</v>
      </c>
      <c r="J1" s="10" t="s">
        <v>6</v>
      </c>
      <c r="K1" s="10" t="s">
        <v>7</v>
      </c>
      <c r="L1" s="10" t="s">
        <v>8</v>
      </c>
      <c r="M1" s="10" t="s">
        <v>9</v>
      </c>
      <c r="N1" s="10" t="s">
        <v>10</v>
      </c>
      <c r="O1" s="11" t="s">
        <v>30</v>
      </c>
      <c r="P1" s="10" t="s">
        <v>48</v>
      </c>
      <c r="Q1" s="10" t="s">
        <v>53</v>
      </c>
      <c r="R1" s="26"/>
      <c r="S1" s="31" t="s">
        <v>32</v>
      </c>
      <c r="T1" s="31" t="s">
        <v>1</v>
      </c>
      <c r="U1" s="46" t="s">
        <v>54</v>
      </c>
      <c r="V1" s="46" t="s">
        <v>58</v>
      </c>
      <c r="W1" s="46" t="s">
        <v>59</v>
      </c>
      <c r="X1" s="31" t="s">
        <v>4</v>
      </c>
      <c r="Y1" s="31" t="s">
        <v>5</v>
      </c>
      <c r="Z1" s="31" t="s">
        <v>6</v>
      </c>
      <c r="AA1" s="31" t="s">
        <v>7</v>
      </c>
      <c r="AB1" s="31" t="s">
        <v>8</v>
      </c>
      <c r="AC1" s="31" t="s">
        <v>9</v>
      </c>
      <c r="AD1" s="31" t="s">
        <v>10</v>
      </c>
      <c r="AE1" s="31" t="s">
        <v>30</v>
      </c>
      <c r="AF1" s="11" t="s">
        <v>48</v>
      </c>
      <c r="AH1" s="29" t="s">
        <v>0</v>
      </c>
      <c r="AI1" s="30" t="s">
        <v>32</v>
      </c>
      <c r="AJ1" s="30" t="s">
        <v>1</v>
      </c>
      <c r="AK1" s="30" t="s">
        <v>31</v>
      </c>
      <c r="AL1" s="30" t="s">
        <v>2</v>
      </c>
      <c r="AM1" s="30" t="s">
        <v>3</v>
      </c>
      <c r="AN1" s="30" t="s">
        <v>4</v>
      </c>
      <c r="AO1" s="30" t="s">
        <v>5</v>
      </c>
      <c r="AP1" s="30" t="s">
        <v>6</v>
      </c>
      <c r="AQ1" s="30" t="s">
        <v>7</v>
      </c>
      <c r="AR1" s="30" t="s">
        <v>8</v>
      </c>
      <c r="AS1" s="30" t="s">
        <v>9</v>
      </c>
      <c r="AT1" s="30" t="s">
        <v>10</v>
      </c>
      <c r="AU1" s="30" t="s">
        <v>30</v>
      </c>
      <c r="AV1" s="3" t="s">
        <v>48</v>
      </c>
      <c r="AX1" s="26" t="s">
        <v>0</v>
      </c>
      <c r="AY1" s="31" t="s">
        <v>32</v>
      </c>
      <c r="AZ1" s="31" t="s">
        <v>1</v>
      </c>
      <c r="BA1" s="31" t="s">
        <v>31</v>
      </c>
      <c r="BB1" s="31" t="s">
        <v>2</v>
      </c>
      <c r="BC1" s="31" t="s">
        <v>3</v>
      </c>
      <c r="BD1" s="31" t="s">
        <v>4</v>
      </c>
      <c r="BE1" s="31" t="s">
        <v>5</v>
      </c>
      <c r="BF1" s="31" t="s">
        <v>6</v>
      </c>
      <c r="BG1" s="31" t="s">
        <v>7</v>
      </c>
      <c r="BH1" s="31" t="s">
        <v>8</v>
      </c>
      <c r="BI1" s="31" t="s">
        <v>9</v>
      </c>
      <c r="BJ1" s="31" t="s">
        <v>10</v>
      </c>
      <c r="BK1" s="31" t="s">
        <v>30</v>
      </c>
      <c r="BL1" s="11" t="s">
        <v>48</v>
      </c>
    </row>
    <row r="2" spans="1:64" ht="52" thickTop="1" x14ac:dyDescent="0.2">
      <c r="A2" s="8" t="s">
        <v>11</v>
      </c>
      <c r="B2" s="17" t="s">
        <v>34</v>
      </c>
      <c r="C2" s="12" t="s">
        <v>12</v>
      </c>
      <c r="D2" s="12" t="s">
        <v>37</v>
      </c>
      <c r="E2" s="42" t="str">
        <f>Table21[[#This Row],[task_name_better]] &amp; CHAR(10) &amp; Table21[[#This Row],[model_name_better]]</f>
        <v>Leinster vs Rest
Logistic Regression (Weighted)</v>
      </c>
      <c r="F2" s="12">
        <v>1618</v>
      </c>
      <c r="G2" s="12">
        <v>206</v>
      </c>
      <c r="H2" s="12">
        <v>2</v>
      </c>
      <c r="I2" s="22" t="s">
        <v>13</v>
      </c>
      <c r="J2" s="12" t="s">
        <v>14</v>
      </c>
      <c r="K2" s="16">
        <v>0.70587470855788703</v>
      </c>
      <c r="L2" s="14">
        <v>8.1253599867057394E-2</v>
      </c>
      <c r="M2" s="45">
        <v>0.68096475492059005</v>
      </c>
      <c r="N2" s="45">
        <v>0.66823070364772896</v>
      </c>
      <c r="O2" s="16">
        <f>1/Table6[[#This Row],[n_classes]]</f>
        <v>0.5</v>
      </c>
      <c r="P2" s="38">
        <v>0</v>
      </c>
      <c r="Q2" s="41">
        <f>(Table21[[#This Row],[balanced_accuracy_mean]]-Table21[[#This Row],[baseline]])/Table21[[#This Row],[baseline]]</f>
        <v>0.36192950984118011</v>
      </c>
      <c r="U2" s="50" t="str">
        <f>Table21[[#This Row],[task_name_better]] &amp; CHAR(10) &amp; Table21[[#This Row],[model_name_better]]</f>
        <v>Leinster vs Rest
Logistic Regression (Weighted)</v>
      </c>
      <c r="V2" s="47">
        <f>(Table21[[#This Row],[balanced_accuracy_mean]]-Table21[[#This Row],[baseline]])/Table21[[#This Row],[baseline]]</f>
        <v>0.36192950984118011</v>
      </c>
      <c r="W2" s="52">
        <v>0.2316</v>
      </c>
    </row>
    <row r="3" spans="1:64" ht="34" x14ac:dyDescent="0.2">
      <c r="A3" s="19" t="s">
        <v>27</v>
      </c>
      <c r="B3" s="17" t="s">
        <v>57</v>
      </c>
      <c r="C3" s="17" t="s">
        <v>20</v>
      </c>
      <c r="D3" s="17" t="s">
        <v>41</v>
      </c>
      <c r="E3" s="42" t="str">
        <f>Table21[[#This Row],[task_name_better]] &amp; CHAR(10) &amp; Table21[[#This Row],[model_name_better]]</f>
        <v>Ulster vs Rest
Random Forest</v>
      </c>
      <c r="F3" s="17">
        <v>1618</v>
      </c>
      <c r="G3" s="17">
        <v>206</v>
      </c>
      <c r="H3" s="17">
        <v>2</v>
      </c>
      <c r="I3" s="17" t="s">
        <v>28</v>
      </c>
      <c r="J3" s="17" t="s">
        <v>29</v>
      </c>
      <c r="K3" s="21">
        <v>0.84180139892214201</v>
      </c>
      <c r="L3" s="24">
        <v>8.2613734032347896E-2</v>
      </c>
      <c r="M3" s="21">
        <v>0.78437523129269904</v>
      </c>
      <c r="N3" s="21">
        <v>0.79862896778877202</v>
      </c>
      <c r="O3" s="21">
        <v>0.5</v>
      </c>
      <c r="P3" s="36">
        <v>0</v>
      </c>
      <c r="Q3" s="41">
        <f>(Table21[[#This Row],[balanced_accuracy_mean]]-Table21[[#This Row],[baseline]])/Table21[[#This Row],[baseline]]</f>
        <v>0.56875046258539808</v>
      </c>
      <c r="U3" s="51" t="str">
        <f>Table21[[#This Row],[task_name_better]] &amp; CHAR(10) &amp; Table21[[#This Row],[model_name_better]]</f>
        <v>Ulster vs Rest
Random Forest</v>
      </c>
      <c r="V3" s="48">
        <f>(Table21[[#This Row],[balanced_accuracy_mean]]-Table21[[#This Row],[baseline]])/Table21[[#This Row],[baseline]]</f>
        <v>0.56875046258539808</v>
      </c>
    </row>
    <row r="4" spans="1:64" ht="51" x14ac:dyDescent="0.2">
      <c r="A4" s="19" t="s">
        <v>24</v>
      </c>
      <c r="B4" s="19" t="s">
        <v>55</v>
      </c>
      <c r="C4" s="17" t="s">
        <v>15</v>
      </c>
      <c r="D4" s="17" t="s">
        <v>49</v>
      </c>
      <c r="E4" s="43" t="str">
        <f>Table21[[#This Row],[task_name_better]] &amp; CHAR(10) &amp; Table21[[#This Row],[model_name_better]]</f>
        <v xml:space="preserve">Ulster, Leinster, and Rest
Logistic Regression </v>
      </c>
      <c r="F4" s="17">
        <v>1618</v>
      </c>
      <c r="G4" s="17">
        <v>206</v>
      </c>
      <c r="H4" s="17">
        <v>3</v>
      </c>
      <c r="I4" s="17" t="s">
        <v>25</v>
      </c>
      <c r="J4" s="17" t="s">
        <v>26</v>
      </c>
      <c r="K4" s="21">
        <v>0.59583190001146602</v>
      </c>
      <c r="L4" s="24">
        <v>5.6455840800081501E-2</v>
      </c>
      <c r="M4" s="21">
        <v>0.59669754106231598</v>
      </c>
      <c r="N4" s="21">
        <v>0.59716870716770198</v>
      </c>
      <c r="O4" s="21">
        <v>0.33333333333333331</v>
      </c>
      <c r="P4" s="24">
        <v>0</v>
      </c>
      <c r="Q4" s="41">
        <f>(Table21[[#This Row],[balanced_accuracy_mean]]-Table21[[#This Row],[baseline]])/Table21[[#This Row],[baseline]]</f>
        <v>0.79009262318694806</v>
      </c>
      <c r="U4" s="50" t="str">
        <f>Table21[[#This Row],[task_name_better]] &amp; CHAR(10) &amp; Table21[[#This Row],[model_name_better]]</f>
        <v xml:space="preserve">Ulster, Leinster, and Rest
Logistic Regression </v>
      </c>
      <c r="V4" s="47">
        <f>(Table21[[#This Row],[balanced_accuracy_mean]]-Table21[[#This Row],[baseline]])/Table21[[#This Row],[baseline]]</f>
        <v>0.79009262318694806</v>
      </c>
    </row>
    <row r="5" spans="1:64" ht="34" x14ac:dyDescent="0.2">
      <c r="A5" s="19" t="s">
        <v>21</v>
      </c>
      <c r="B5" s="12" t="s">
        <v>56</v>
      </c>
      <c r="C5" s="12" t="s">
        <v>15</v>
      </c>
      <c r="D5" s="12" t="s">
        <v>49</v>
      </c>
      <c r="E5" s="44" t="str">
        <f>Table21[[#This Row],[task_name_better]] &amp; CHAR(10) &amp; Table21[[#This Row],[model_name_better]]</f>
        <v xml:space="preserve">Four Provinces
Logistic Regression </v>
      </c>
      <c r="F5" s="12">
        <v>1618</v>
      </c>
      <c r="G5" s="12">
        <v>206</v>
      </c>
      <c r="H5" s="12">
        <v>4</v>
      </c>
      <c r="I5" s="17" t="s">
        <v>22</v>
      </c>
      <c r="J5" s="17" t="s">
        <v>23</v>
      </c>
      <c r="K5" s="13">
        <v>0.51545239457842695</v>
      </c>
      <c r="L5" s="14">
        <v>6.5806883023499005E-2</v>
      </c>
      <c r="M5" s="13">
        <v>0.46598062321780598</v>
      </c>
      <c r="N5" s="13">
        <v>0.46040496674883702</v>
      </c>
      <c r="O5" s="13">
        <v>0.25</v>
      </c>
      <c r="P5" s="38">
        <v>0</v>
      </c>
      <c r="Q5" s="41">
        <f>(Table21[[#This Row],[balanced_accuracy_mean]]-Table21[[#This Row],[baseline]])/Table21[[#This Row],[baseline]]</f>
        <v>0.86392249287122391</v>
      </c>
      <c r="U5" s="51" t="str">
        <f>Table21[[#This Row],[task_name_better]] &amp; CHAR(10) &amp; Table21[[#This Row],[model_name_better]]</f>
        <v xml:space="preserve">Four Provinces
Logistic Regression </v>
      </c>
      <c r="V5" s="49">
        <f>(Table21[[#This Row],[balanced_accuracy_mean]]-Table21[[#This Row],[baseline]])/Table21[[#This Row],[baseline]]</f>
        <v>0.86392249287122391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wav2vec_irish_summary</vt:lpstr>
      <vt:lpstr>Chart 1 - B.A. per Task</vt:lpstr>
      <vt:lpstr>Chart 2 - F1 per Task</vt:lpstr>
      <vt:lpstr> Chart 3 — Accuracy vs Balanced</vt:lpstr>
      <vt:lpstr>Chart 4 - Average B.A. Per Task</vt:lpstr>
      <vt:lpstr>Chart 5 - Best Model Per Task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Ff Ff</dc:creator>
  <cp:lastModifiedBy>Ff Ff</cp:lastModifiedBy>
  <dcterms:created xsi:type="dcterms:W3CDTF">2026-03-24T14:12:40Z</dcterms:created>
  <dcterms:modified xsi:type="dcterms:W3CDTF">2026-04-15T18:52:53Z</dcterms:modified>
</cp:coreProperties>
</file>